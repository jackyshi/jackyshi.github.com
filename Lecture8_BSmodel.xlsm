
<file path=[Content_Types].xml><?xml version="1.0" encoding="utf-8"?>
<Types xmlns="http://schemas.openxmlformats.org/package/2006/content-types">
  <Default Extension="bin" ContentType="application/vnd.openxmlformats-officedocument.oleObject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/>
  <bookViews>
    <workbookView xWindow="1005" yWindow="195" windowWidth="22920" windowHeight="15405" tabRatio="623" activeTab="3"/>
  </bookViews>
  <sheets>
    <sheet name="BSmodel" sheetId="20" r:id="rId1"/>
    <sheet name="BS_VBA" sheetId="8" r:id="rId2"/>
    <sheet name="BS_div" sheetId="22" r:id="rId3"/>
    <sheet name="BS_div_VBA" sheetId="9" r:id="rId4"/>
    <sheet name="BS general" sheetId="17" r:id="rId5"/>
    <sheet name="BS chart" sheetId="23" r:id="rId6"/>
    <sheet name="Exercise 3 - ans" sheetId="24" r:id="rId7"/>
    <sheet name="BS Delta" sheetId="15" r:id="rId8"/>
    <sheet name="SuperBS" sheetId="16" r:id="rId9"/>
    <sheet name="BSArray" sheetId="12" r:id="rId10"/>
    <sheet name="BStable" sheetId="18" r:id="rId11"/>
    <sheet name="Exercise4" sheetId="26" r:id="rId12"/>
    <sheet name="Exercise4-ans" sheetId="19" r:id="rId13"/>
    <sheet name="Greeks" sheetId="25" r:id="rId14"/>
  </sheets>
  <functionGroups builtInGroupCount="17"/>
  <definedNames>
    <definedName name="dOne">Greeks!$B$16</definedName>
    <definedName name="dTwo">Greeks!$B$20</definedName>
    <definedName name="eqt">Greeks!$B$13</definedName>
    <definedName name="ert">Greeks!$B$12</definedName>
    <definedName name="K">Greeks!$B$5</definedName>
    <definedName name="NdOne">Greeks!$B$17</definedName>
    <definedName name="NdTwo">Greeks!$B$21</definedName>
    <definedName name="NmdOne">Greeks!$B$18</definedName>
    <definedName name="NmdTwo">Greeks!$B$22</definedName>
    <definedName name="NpdOne">Greeks!$B$24</definedName>
    <definedName name="q">Greeks!$B$6</definedName>
    <definedName name="radj">Greeks!$B$14</definedName>
    <definedName name="rr">Greeks!$B$9</definedName>
    <definedName name="S">Greeks!$B$4</definedName>
    <definedName name="T">Greeks!$B$7</definedName>
    <definedName name="V">Greeks!$B$8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7" i="12" l="1" a="1"/>
  <c r="D17" i="12"/>
  <c r="E17" i="12"/>
  <c r="F17" i="12"/>
  <c r="E19" i="16"/>
  <c r="C15" i="15"/>
  <c r="C14" i="15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14" i="23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14" i="24"/>
  <c r="C14" i="17"/>
  <c r="C13" i="17"/>
  <c r="E22" i="16"/>
  <c r="E21" i="16"/>
  <c r="E20" i="16"/>
  <c r="B27" i="19" a="1"/>
  <c r="B27" i="19"/>
  <c r="C27" i="19"/>
  <c r="D27" i="19"/>
  <c r="E27" i="19"/>
  <c r="A47" i="12" a="1"/>
  <c r="A47" i="12"/>
  <c r="A48" i="12"/>
  <c r="B12" i="25"/>
  <c r="E20" i="22"/>
  <c r="E17" i="22"/>
  <c r="E19" i="22"/>
  <c r="E18" i="22"/>
  <c r="E22" i="22"/>
  <c r="E24" i="22"/>
  <c r="B14" i="25"/>
  <c r="B16" i="25" s="1"/>
  <c r="B13" i="25"/>
  <c r="E23" i="22"/>
  <c r="E14" i="20"/>
  <c r="E13" i="20"/>
  <c r="E12" i="20"/>
  <c r="E17" i="20"/>
  <c r="E22" i="20"/>
  <c r="E16" i="20"/>
  <c r="E18" i="20"/>
  <c r="E23" i="20"/>
  <c r="E24" i="20"/>
  <c r="E134" i="8"/>
  <c r="E12" i="9"/>
  <c r="E115" i="8"/>
  <c r="E41" i="8"/>
  <c r="D60" i="9"/>
  <c r="E116" i="8"/>
  <c r="F28" i="18" a="1"/>
  <c r="B28" i="18" a="1"/>
  <c r="B17" i="25" l="1"/>
  <c r="B24" i="25"/>
  <c r="B20" i="25"/>
  <c r="B21" i="25" s="1"/>
  <c r="F7" i="25"/>
  <c r="C28" i="18"/>
  <c r="B28" i="18"/>
  <c r="F28" i="18"/>
  <c r="G28" i="18"/>
  <c r="E4" i="25" l="1"/>
  <c r="F11" i="25" s="1"/>
  <c r="E5" i="25"/>
  <c r="I4" i="25" s="1"/>
  <c r="B22" i="25"/>
  <c r="F8" i="25" s="1"/>
  <c r="AF5" i="25" s="1"/>
  <c r="E8" i="25"/>
  <c r="AE5" i="25" s="1"/>
  <c r="F6" i="25"/>
  <c r="E6" i="25"/>
  <c r="K4" i="25" s="1"/>
  <c r="E7" i="25"/>
  <c r="U5" i="25" s="1"/>
  <c r="B18" i="25"/>
  <c r="F4" i="25" s="1"/>
  <c r="F5" i="25"/>
  <c r="J4" i="25" s="1"/>
</calcChain>
</file>

<file path=xl/sharedStrings.xml><?xml version="1.0" encoding="utf-8"?>
<sst xmlns="http://schemas.openxmlformats.org/spreadsheetml/2006/main" count="501" uniqueCount="260">
  <si>
    <t>Option</t>
    <phoneticPr fontId="2" type="noConversion"/>
  </si>
  <si>
    <t>OutPut</t>
    <phoneticPr fontId="2" type="noConversion"/>
  </si>
  <si>
    <t>Call Price</t>
    <phoneticPr fontId="2" type="noConversion"/>
  </si>
  <si>
    <t>Put Price</t>
    <phoneticPr fontId="2" type="noConversion"/>
  </si>
  <si>
    <t>Call Delta</t>
    <phoneticPr fontId="2" type="noConversion"/>
  </si>
  <si>
    <t>Price</t>
    <phoneticPr fontId="2" type="noConversion"/>
  </si>
  <si>
    <t>1) it will calculate the option price depending callput variable</t>
    <phoneticPr fontId="2" type="noConversion"/>
  </si>
  <si>
    <t>Input</t>
    <phoneticPr fontId="2" type="noConversion"/>
  </si>
  <si>
    <t>Delta</t>
    <phoneticPr fontId="2" type="noConversion"/>
  </si>
  <si>
    <t>xxxxxxxxxxxxxxxxxxxxxxxxxxxxxxxxxxxxxxxxxxxxxxxxxxxxxxxxxxxxxxxxxxxxxxxxxxxxxxxxxxxxxxxxxxxxxxxxxxxxxxxxx</t>
  </si>
  <si>
    <t>Domestic Interest Rate ( r )</t>
  </si>
  <si>
    <t>dividend yield according to formula above</t>
    <phoneticPr fontId="2" type="noConversion"/>
  </si>
  <si>
    <t>Recall the formula</t>
  </si>
  <si>
    <t xml:space="preserve">    d1 = (Log(S / K) + (r + v ^ 2 / 2) * T) / (v * Sqr(T))</t>
  </si>
  <si>
    <t xml:space="preserve">    d2 = d1 - v * Sqr(T)</t>
  </si>
  <si>
    <t>End Function</t>
  </si>
  <si>
    <t>Let's have a try first</t>
  </si>
  <si>
    <r>
      <t>through the</t>
    </r>
    <r>
      <rPr>
        <b/>
        <sz val="10"/>
        <rFont val="Arial"/>
        <family val="2"/>
      </rPr>
      <t xml:space="preserve"> application</t>
    </r>
    <r>
      <rPr>
        <sz val="12"/>
        <rFont val="新細明體"/>
        <family val="1"/>
        <charset val="136"/>
      </rPr>
      <t xml:space="preserve"> object</t>
    </r>
  </si>
  <si>
    <t>Drawback on this style of writing:</t>
  </si>
  <si>
    <t>1) No comment</t>
  </si>
  <si>
    <t xml:space="preserve">        </t>
  </si>
  <si>
    <t xml:space="preserve">    </t>
  </si>
  <si>
    <t>Price</t>
  </si>
  <si>
    <t xml:space="preserve">    End Select</t>
  </si>
  <si>
    <t>Function BSSimple(S, K, T, r, v)</t>
    <phoneticPr fontId="2" type="noConversion"/>
  </si>
  <si>
    <t>2) return option price or delta depending on results variable</t>
    <phoneticPr fontId="2" type="noConversion"/>
  </si>
  <si>
    <t xml:space="preserve">    BSSimple = S * WorksheetFunction.NormSDist(d1) - K * Exp(-r * T) * WorksheetFunction.NormSDist(d2)</t>
    <phoneticPr fontId="2" type="noConversion"/>
  </si>
  <si>
    <t>Ans: provided in several rows below (do not peek in the answer unless you really could not solve the question right away)</t>
  </si>
  <si>
    <r>
      <t xml:space="preserve">So the inputs are </t>
    </r>
    <r>
      <rPr>
        <b/>
        <sz val="12"/>
        <rFont val="新細明體"/>
      </rPr>
      <t>spot (S), strike (K), time to maturity (T), interest rate (r), volatility (v)</t>
    </r>
  </si>
  <si>
    <t xml:space="preserve">Let's create a function "BSSimple" in the new Excel file </t>
  </si>
  <si>
    <t>BSSimple gives</t>
  </si>
  <si>
    <r>
      <t xml:space="preserve">To use fancier functions like the normal distribution, you have to go to the Excel object instead. VBA can use </t>
    </r>
    <r>
      <rPr>
        <b/>
        <sz val="12"/>
        <rFont val="新細明體"/>
      </rPr>
      <t>some</t>
    </r>
    <r>
      <rPr>
        <sz val="12"/>
        <rFont val="新細明體"/>
        <family val="1"/>
        <charset val="136"/>
      </rPr>
      <t xml:space="preserve"> Excel built-in functions </t>
    </r>
  </si>
  <si>
    <t>Two notes on the use of math functions available at VBA:</t>
  </si>
  <si>
    <t>Go to the VBA platform</t>
  </si>
  <si>
    <t xml:space="preserve">    ' now, declare the variables d1 and d2 (the comment is in green color)</t>
  </si>
  <si>
    <t>Let's have a try ( for normal case)</t>
  </si>
  <si>
    <t xml:space="preserve">    d1 = (Log(S / K) + (r - q + v ^ 2 / 2) * T) / (v * Sqr(T))</t>
  </si>
  <si>
    <t xml:space="preserve"> ' q is the dividend yield rate</t>
  </si>
  <si>
    <t>Stock price (S)</t>
  </si>
  <si>
    <t>Strike price (k)</t>
  </si>
  <si>
    <t>Maturity (T)</t>
  </si>
  <si>
    <t>Volatilty (v)</t>
  </si>
  <si>
    <t>BS VBA Exercise 1 - EuroCall with dividends</t>
  </si>
  <si>
    <t>Euro Put Price</t>
  </si>
  <si>
    <t>Function BSPut(S As Double, K As Double, T As Double, r As Double, v As Double)</t>
  </si>
  <si>
    <t xml:space="preserve">    Dim d1 As Double, d2 As Double</t>
  </si>
  <si>
    <t xml:space="preserve">    BSPut = K * Exp(-r * T) * WorksheetFunction.NormSDist(-d2) - S * WorksheetFunction.NormSDist(-d1)</t>
  </si>
  <si>
    <t>Write the BSput() to compute the Euro put price (no dividend)</t>
  </si>
  <si>
    <t>spot (S)</t>
  </si>
  <si>
    <t>strike (K)</t>
  </si>
  <si>
    <t>time (T)</t>
  </si>
  <si>
    <t>volatility (v)</t>
  </si>
  <si>
    <t>rate ( r)</t>
  </si>
  <si>
    <t>European Put Option with dividends</t>
  </si>
  <si>
    <t>Function BSPut_div(S As Double, K As Double, T As Double, r As Double, q As Double, v As Double)</t>
  </si>
  <si>
    <t xml:space="preserve">    BSPut_div = K * Exp(-r * T) * WorksheetFunction.NormSDist(-d2) - S *EXP(-q*T)* WorksheetFunction.NormSDist(-d1)</t>
  </si>
  <si>
    <t>Black - Scholes Formula with dividends</t>
  </si>
  <si>
    <t>BS Delta without dividend</t>
  </si>
  <si>
    <t>Option type (c or p)</t>
  </si>
  <si>
    <t>c</t>
  </si>
  <si>
    <t>Delta of put</t>
  </si>
  <si>
    <t>Delta of call</t>
  </si>
  <si>
    <t>Function BSDelta2(CallPutFlag As String, S As Double, K As Double, T As Double, r As Double, v As Double)</t>
  </si>
  <si>
    <t xml:space="preserve">                </t>
  </si>
  <si>
    <t xml:space="preserve">    If CallPutFlag = "c" Then</t>
  </si>
  <si>
    <t xml:space="preserve">        BSDelta2 = WorksheetFunction.NormSDist(d1)</t>
  </si>
  <si>
    <t xml:space="preserve">    ElseIf CallPutFlag = "p" Then</t>
  </si>
  <si>
    <t xml:space="preserve">        BSDelta2 = -1 * WorksheetFunction.NormSDist(-d1)</t>
  </si>
  <si>
    <t xml:space="preserve">    End If</t>
  </si>
  <si>
    <t>Write the code "BSDelta2" to calcualte the delta of the call/put option</t>
  </si>
  <si>
    <t>BS Delta with dividend</t>
  </si>
  <si>
    <t>Exercise 3: Write the code "BSDelta2_div" to calcualte the delta of the call/put option with dividends</t>
  </si>
  <si>
    <t>Function BSDelta2_div (CallPutFlag As String, S As Double, K As Double, T As Double, r As Double, q As Double, v As Double)</t>
  </si>
  <si>
    <t xml:space="preserve">        BSDelta2_div = EXP(-q*T)*WorksheetFunction.NormSDist(d1)</t>
  </si>
  <si>
    <t xml:space="preserve">        BSDelta2_div = -1 * EXP(-q*T)*WorksheetFunction.NormSDist(-d1)</t>
  </si>
  <si>
    <t>Dividend yield Rate ( q )</t>
  </si>
  <si>
    <t>Dividend Yield Rate ( q )</t>
  </si>
  <si>
    <t>A more advanced code that computes option price and delta automatically</t>
  </si>
  <si>
    <t>A general BS European Pricing Code with dividends</t>
  </si>
  <si>
    <t>Now, we advance our program skill by writing the code that can compute both call and put options' prices</t>
  </si>
  <si>
    <t>Code "BS"</t>
  </si>
  <si>
    <t>Function CND(ByVal d As Double) As Double</t>
  </si>
  <si>
    <t xml:space="preserve">    CND = WorksheetFunction.NormSDist(d)</t>
  </si>
  <si>
    <t xml:space="preserve">    'Last version of Excel uses:</t>
  </si>
  <si>
    <t xml:space="preserve">    'Norm = Application.NormSDist(d)</t>
  </si>
  <si>
    <t xml:space="preserve">        BS = S * Exp(-q * T) * CND(d1) - K * Exp(-r * T) * CND(d2)</t>
  </si>
  <si>
    <t>Euro Call Price</t>
  </si>
  <si>
    <t>&lt;= case sensitive</t>
  </si>
  <si>
    <t>&lt;= case sensitive; if you enter "C" or "P", you will not get results</t>
  </si>
  <si>
    <t xml:space="preserve">    As Double, ByVal T As Double, ByVal r As Double, ByVal q As Double, ByVal v As Double) As Double</t>
  </si>
  <si>
    <t xml:space="preserve">        BS = K * Exp(-r * T) * CND(-d2) - S * Exp(-q * T) * CND(-d1)</t>
  </si>
  <si>
    <t xml:space="preserve">     As Double, ByVal T As Double, ByVal r As Double, ByVal q As Double, ByVal v As Double) As Double</t>
  </si>
  <si>
    <t xml:space="preserve">        BSDelta = Exp(-q * T) * CND(d1)</t>
  </si>
  <si>
    <t xml:space="preserve">        BSDelta = -1 * Exp(-q * T) * CND(-d1)</t>
  </si>
  <si>
    <t xml:space="preserve">     As Double, ByVal T As Double, ByVal r As Double, ByVal q As Double, ByVal v _</t>
  </si>
  <si>
    <t xml:space="preserve">     As Double, ByVal PriceOrDelta As String) As Double</t>
  </si>
  <si>
    <t xml:space="preserve">    Select Case PriceOrDelta</t>
  </si>
  <si>
    <t xml:space="preserve">    Case "Price"</t>
  </si>
  <si>
    <t xml:space="preserve">        SuperBS = BS(CallPutFlag, S, K, T, r, q, v)</t>
  </si>
  <si>
    <t xml:space="preserve">    Case "Delta"</t>
  </si>
  <si>
    <t xml:space="preserve">        SuperBS = BSDelta(CallPutFlag, S, K, T, r, q, v)</t>
  </si>
  <si>
    <t>Put Delta</t>
  </si>
  <si>
    <t>Price or Delta</t>
  </si>
  <si>
    <t xml:space="preserve">    ' Select is another function for us to use instead of IF function</t>
  </si>
  <si>
    <t>Write the superBS(call/put, spot, strike, maturity,  riskfree, dividend, volatility,  Price/Delta)</t>
  </si>
  <si>
    <t>First, let's try to output in array</t>
  </si>
  <si>
    <t>Function threeoutput(x As Double)</t>
  </si>
  <si>
    <t xml:space="preserve">    threeoutput = Array(x, x ^ 2, x ^ 3)</t>
  </si>
  <si>
    <t>Output</t>
  </si>
  <si>
    <t>We want to output the first, second, and thrid power of a value in the following format</t>
  </si>
  <si>
    <t>Then, we (1) select three cells D17:F17, (2) input "=threeoutput(B4)", (3) Ctrl+Shift+Enter</t>
  </si>
  <si>
    <t>We will get:</t>
  </si>
  <si>
    <t>Now, let's write a code "BSvec" that will output a 2-by-1 column vector (the first is price, and the 2nd is delta)</t>
  </si>
  <si>
    <t>Output vector</t>
  </si>
  <si>
    <t>(So that the Bsvec can directly use the functions BS and BSDelta without writing them again)</t>
  </si>
  <si>
    <t xml:space="preserve">        ' Use Transpose to make row output to column output</t>
  </si>
  <si>
    <t xml:space="preserve">Then, we will get </t>
  </si>
  <si>
    <t xml:space="preserve">                As Double, ByVal T As Double, ByVal r As Double, ByVal q As Double, ByVal v As Double)</t>
  </si>
  <si>
    <t xml:space="preserve">        opprice = BS(CallPutFlag, S, K, T, r, q, v)</t>
  </si>
  <si>
    <t xml:space="preserve">        opdelta = BSDelta(CallPutFlag, S, K, T, r, q, v)</t>
  </si>
  <si>
    <t>BS output in Array</t>
  </si>
  <si>
    <t>BS output in Table</t>
  </si>
  <si>
    <t>Now, we want to output all option price and delta according to all different input</t>
  </si>
  <si>
    <t>We add the following code to the BS module:</t>
  </si>
  <si>
    <t xml:space="preserve">        BSvec1 = Array(opprice, opdelta)</t>
  </si>
  <si>
    <t>Then, we want to see the option price and delta given different stock prices</t>
  </si>
  <si>
    <t>OptionPrice</t>
  </si>
  <si>
    <t>OptionDelta</t>
  </si>
  <si>
    <t>Call option</t>
  </si>
  <si>
    <t>Put option</t>
  </si>
  <si>
    <t>Exercise 4: Now, try to revise BSvec1 and come up with a code that will output all call  and put options' prices and delta (CallPrice, CallDelta, PutPrice, PutDelta) in 1 function</t>
  </si>
  <si>
    <t xml:space="preserve">        callprice = BS("c", S, K, T, r, q, v)</t>
  </si>
  <si>
    <t xml:space="preserve">        calldelta = BSDelta("c", S, K, T, r, q, v)</t>
  </si>
  <si>
    <t xml:space="preserve">        putprice = BS("p", S, K, T, r, q, v)</t>
  </si>
  <si>
    <t xml:space="preserve">        putdelta = BSDelta("p", S, K, T, r, q, v)</t>
  </si>
  <si>
    <t xml:space="preserve">        BSvec2 = Array(callprice, calldelta, putprice, putdelta)</t>
  </si>
  <si>
    <t>CallPrice</t>
  </si>
  <si>
    <t>CallDelta</t>
  </si>
  <si>
    <t>PutPrice</t>
  </si>
  <si>
    <t>PutDelta</t>
  </si>
  <si>
    <t>Then, we will come up with the table</t>
  </si>
  <si>
    <t>Black - Scholes Formula</t>
  </si>
  <si>
    <t>Option</t>
  </si>
  <si>
    <t>Strike price (K)</t>
  </si>
  <si>
    <t>Maturity (T) in year</t>
  </si>
  <si>
    <t>Riskfree ( r) in year</t>
  </si>
  <si>
    <r>
      <t>Volatilty (</t>
    </r>
    <r>
      <rPr>
        <sz val="12"/>
        <rFont val="Calibri"/>
        <family val="2"/>
      </rPr>
      <t>σ</t>
    </r>
    <r>
      <rPr>
        <sz val="12"/>
        <rFont val="Times New Roman"/>
        <family val="1"/>
      </rPr>
      <t>) in year</t>
    </r>
  </si>
  <si>
    <t xml:space="preserve"> </t>
  </si>
  <si>
    <t>OutPut</t>
  </si>
  <si>
    <t>d_1</t>
  </si>
  <si>
    <t>d_2</t>
  </si>
  <si>
    <t>K * exp (- r T) = PV(K)</t>
  </si>
  <si>
    <t>Call Price from BS model</t>
  </si>
  <si>
    <t>Put Price from BS model</t>
  </si>
  <si>
    <t>Put price from Put-Call Parity</t>
  </si>
  <si>
    <t>Call Delta</t>
  </si>
  <si>
    <t>Gamma</t>
  </si>
  <si>
    <r>
      <t xml:space="preserve">To write our first version of Black-Scholes formula </t>
    </r>
    <r>
      <rPr>
        <b/>
        <sz val="12"/>
        <color indexed="10"/>
        <rFont val="新細明體"/>
      </rPr>
      <t>(no dividend)</t>
    </r>
    <r>
      <rPr>
        <sz val="12"/>
        <rFont val="新細明體"/>
        <family val="1"/>
        <charset val="136"/>
      </rPr>
      <t>, we need to know the input of the functions.</t>
    </r>
  </si>
  <si>
    <r>
      <t xml:space="preserve">Black-Scholes </t>
    </r>
    <r>
      <rPr>
        <sz val="16"/>
        <color indexed="10"/>
        <rFont val="Times New Roman"/>
        <family val="1"/>
      </rPr>
      <t>(no dividend)</t>
    </r>
  </si>
  <si>
    <t>Black-Scholes with dividend yield</t>
  </si>
  <si>
    <t>Black - Scholes Formula with dividend yield</t>
  </si>
  <si>
    <t>Maturity ( T )</t>
  </si>
  <si>
    <t>Riskfree Rate ( r )</t>
  </si>
  <si>
    <t>Dividend payout Rate ( q )</t>
  </si>
  <si>
    <t>Volatilty (sigma)</t>
  </si>
  <si>
    <t>K * exp (- r T)</t>
  </si>
  <si>
    <t>S  * exp (- q T)</t>
  </si>
  <si>
    <t>Put price from Put-Call Parity Check</t>
  </si>
  <si>
    <t>Make the First Black-Scholes in VBA</t>
  </si>
  <si>
    <t>BS VBA European Call without dividend</t>
  </si>
  <si>
    <t>BS VBA Exercise 2 - EuroPut with dividends</t>
  </si>
  <si>
    <t>Better Version (BSCall), insert the following lines in the new module</t>
  </si>
  <si>
    <t xml:space="preserve">    BSCall = S * WorksheetFunction.NormSDist(d1) - K * Exp(-r * T) * WorksheetFunction.NormSDist(d2)</t>
  </si>
  <si>
    <t>BSCall gives -&gt;</t>
  </si>
  <si>
    <t>Black-Scholes Exercise</t>
  </si>
  <si>
    <t>Stock price</t>
  </si>
  <si>
    <t>Strike price</t>
  </si>
  <si>
    <t>Maturity</t>
  </si>
  <si>
    <t xml:space="preserve">Riskfree </t>
  </si>
  <si>
    <t>Volatilty</t>
  </si>
  <si>
    <t>Dividend ratio</t>
  </si>
  <si>
    <t>Stock Price</t>
  </si>
  <si>
    <t>Call Option Price</t>
  </si>
  <si>
    <t>Vol</t>
  </si>
  <si>
    <t>Exercise 3</t>
  </si>
  <si>
    <t>BSM Values and Greek Letters for European Options on Dividend Paying Stocks</t>
  </si>
  <si>
    <t>Delta and Gamma w.r.t stock price</t>
  </si>
  <si>
    <t>Call</t>
  </si>
  <si>
    <t>Put</t>
  </si>
  <si>
    <t>Delta - call</t>
  </si>
  <si>
    <t>Delta - put</t>
  </si>
  <si>
    <t>Vega w.r.t. volatility</t>
  </si>
  <si>
    <t>Rho w.r.t. interest rate</t>
  </si>
  <si>
    <t>Volatility</t>
  </si>
  <si>
    <t>Vega</t>
  </si>
  <si>
    <t xml:space="preserve">Interest </t>
  </si>
  <si>
    <t>Rho-call</t>
  </si>
  <si>
    <t>Rho-put</t>
  </si>
  <si>
    <t>Exercise price (K)</t>
  </si>
  <si>
    <t>Delta</t>
  </si>
  <si>
    <t>Dividend yield (q)</t>
  </si>
  <si>
    <t>Time to maturity (T, years)</t>
  </si>
  <si>
    <t>Volatility (V)</t>
  </si>
  <si>
    <t>Rho</t>
  </si>
  <si>
    <t>Interest rate (rr)</t>
  </si>
  <si>
    <t>Intermediate variables</t>
  </si>
  <si>
    <t>Put from put-call parity</t>
  </si>
  <si>
    <t>Exp(-rT)  (ert)</t>
  </si>
  <si>
    <t>Exp(-qT)  (eqt)</t>
  </si>
  <si>
    <t>(r-q+0.5*V^2)  (radj)</t>
  </si>
  <si>
    <t>d1  (dOne)</t>
  </si>
  <si>
    <t>N (d1)  (NdOne)</t>
  </si>
  <si>
    <t>N (-d1)   (NmdOne)</t>
  </si>
  <si>
    <t>d2  (dTwo)</t>
  </si>
  <si>
    <t>N(d2)  (NdTwo)</t>
  </si>
  <si>
    <t>N(-d2)  (NmdTwo)</t>
  </si>
  <si>
    <r>
      <t xml:space="preserve">Function BSCall(S As </t>
    </r>
    <r>
      <rPr>
        <sz val="12"/>
        <color indexed="10"/>
        <rFont val="新細明體"/>
      </rPr>
      <t>Double</t>
    </r>
    <r>
      <rPr>
        <sz val="12"/>
        <rFont val="新細明體"/>
        <family val="1"/>
        <charset val="136"/>
      </rPr>
      <t>, K As Double, T As Double, r As Double, v As Double)</t>
    </r>
  </si>
  <si>
    <r>
      <t xml:space="preserve">    </t>
    </r>
    <r>
      <rPr>
        <sz val="12"/>
        <color indexed="10"/>
        <rFont val="新細明體"/>
      </rPr>
      <t>Dim</t>
    </r>
    <r>
      <rPr>
        <sz val="12"/>
        <rFont val="新細明體"/>
        <family val="1"/>
        <charset val="136"/>
      </rPr>
      <t xml:space="preserve"> d1 As Double, d2 As Double</t>
    </r>
  </si>
  <si>
    <r>
      <t>Function CND(</t>
    </r>
    <r>
      <rPr>
        <sz val="12"/>
        <color indexed="10"/>
        <rFont val="新細明體"/>
      </rPr>
      <t>ByVal</t>
    </r>
    <r>
      <rPr>
        <sz val="12"/>
        <rFont val="新細明體"/>
        <family val="1"/>
        <charset val="136"/>
      </rPr>
      <t xml:space="preserve"> d As Double) </t>
    </r>
    <r>
      <rPr>
        <sz val="12"/>
        <color indexed="10"/>
        <rFont val="新細明體"/>
      </rPr>
      <t>As Double</t>
    </r>
  </si>
  <si>
    <t>Function BSCall_div(S, K, T, r, q, v)</t>
  </si>
  <si>
    <t xml:space="preserve">    BSCall_div = S * Exp(-q * T) * WorksheetFunction.NormSDist(d1) - K * Exp(-r * T) * WorksheetFunction.NormSDist(d2)</t>
  </si>
  <si>
    <r>
      <t xml:space="preserve">1) </t>
    </r>
    <r>
      <rPr>
        <sz val="12"/>
        <color indexed="10"/>
        <rFont val="Times New Roman"/>
        <family val="1"/>
      </rPr>
      <t xml:space="preserve">Open a new workbook </t>
    </r>
    <r>
      <rPr>
        <sz val="12"/>
        <color indexed="18"/>
        <rFont val="Times New Roman"/>
        <family val="1"/>
      </rPr>
      <t xml:space="preserve">Amend the original BSCall() to incorporate </t>
    </r>
  </si>
  <si>
    <t>Hint:</t>
  </si>
  <si>
    <r>
      <t xml:space="preserve">1) </t>
    </r>
    <r>
      <rPr>
        <sz val="12"/>
        <color indexed="10"/>
        <rFont val="Times New Roman"/>
        <family val="1"/>
      </rPr>
      <t xml:space="preserve">Open a new workbook </t>
    </r>
    <r>
      <rPr>
        <sz val="12"/>
        <color indexed="18"/>
        <rFont val="Times New Roman"/>
        <family val="1"/>
      </rPr>
      <t xml:space="preserve">Amend the original BSPut() to incorporate </t>
    </r>
  </si>
  <si>
    <t>the new function can be called BSCall_div()</t>
  </si>
  <si>
    <t>the new function can be called BSPut_div()</t>
  </si>
  <si>
    <t>See the following Function "threeoutput" into VBA</t>
  </si>
  <si>
    <t xml:space="preserve">To get the output vector, we will need to including the following code into the BS Module we have constructed for SuperBS </t>
  </si>
  <si>
    <t>Write a code named "BSvec2" that produces 4 outputs: Call price, Call delta, Put price, and Put delta</t>
  </si>
  <si>
    <t>Exercise 4</t>
  </si>
  <si>
    <t>Use Data Table to show all 4 outputs given different stock prices (81-120)</t>
  </si>
  <si>
    <t>Ans - Exercise 4</t>
  </si>
  <si>
    <t xml:space="preserve"> = c - S + K*exp(-rT)</t>
  </si>
  <si>
    <t xml:space="preserve"> = c - S*exp(-qT) + K*exp(-rT)</t>
  </si>
  <si>
    <t>Function BS(ByVal CallPutFlag As String, ByVal S As Double, ByVal K _</t>
  </si>
  <si>
    <t>Function BSDelta(ByVal CallPutFlag As String, ByVal S As Double, ByVal K _</t>
  </si>
  <si>
    <t xml:space="preserve"> Function SuperBS(ByVal CallPutFlag As String, ByVal S As Double, ByVal K _</t>
  </si>
  <si>
    <t xml:space="preserve"> Function BSvec(ByVal CallPutFlag As String, ByVal S As Double, ByVal K _</t>
  </si>
  <si>
    <t xml:space="preserve"> Function BSvec1(ByVal CallPutFlag As String, ByVal S As Double, ByVal K _</t>
  </si>
  <si>
    <r>
      <t xml:space="preserve">For all the math functions available to VBA, go </t>
    </r>
    <r>
      <rPr>
        <b/>
        <sz val="10"/>
        <color indexed="10"/>
        <rFont val="Arial"/>
        <family val="2"/>
      </rPr>
      <t>"Objective Browser"</t>
    </r>
    <r>
      <rPr>
        <sz val="12"/>
        <color indexed="10"/>
        <rFont val="新細明體"/>
      </rPr>
      <t xml:space="preserve"> select </t>
    </r>
    <r>
      <rPr>
        <b/>
        <sz val="10"/>
        <color indexed="10"/>
        <rFont val="Arial"/>
        <family val="2"/>
      </rPr>
      <t>VBA</t>
    </r>
    <r>
      <rPr>
        <sz val="12"/>
        <color indexed="10"/>
        <rFont val="新細明體"/>
      </rPr>
      <t xml:space="preserve"> on the top, and then select "</t>
    </r>
    <r>
      <rPr>
        <b/>
        <sz val="10"/>
        <color indexed="10"/>
        <rFont val="Arial"/>
        <family val="2"/>
      </rPr>
      <t>Math" (for VBA function) or "Excel" then "WorksheetFunction" (or Excel function)</t>
    </r>
  </si>
  <si>
    <t>2) No error trapping</t>
  </si>
  <si>
    <t>3) Do not define the variable format</t>
  </si>
  <si>
    <r>
      <t xml:space="preserve">BS VBA European </t>
    </r>
    <r>
      <rPr>
        <sz val="16"/>
        <color indexed="10"/>
        <rFont val="Times New Roman"/>
        <family val="1"/>
      </rPr>
      <t>Put</t>
    </r>
    <r>
      <rPr>
        <sz val="16"/>
        <color indexed="18"/>
        <rFont val="Times New Roman"/>
        <family val="1"/>
      </rPr>
      <t xml:space="preserve"> without dividend</t>
    </r>
  </si>
  <si>
    <t>We will learn to use multiple functions</t>
  </si>
  <si>
    <t>We first list a column for price 81 to 120 and then input; then Ctrl+shift+enter "=BSvec1"for the first row; then, use DataTable for all the rest</t>
  </si>
  <si>
    <r>
      <t>Exp(-(d1^2)/2)/(2*Pi)^0.5  (</t>
    </r>
    <r>
      <rPr>
        <sz val="10"/>
        <color indexed="10"/>
        <rFont val="Arial"/>
        <family val="2"/>
      </rPr>
      <t>NpdOne</t>
    </r>
    <r>
      <rPr>
        <sz val="10"/>
        <rFont val="Arial"/>
        <family val="2"/>
      </rPr>
      <t>)</t>
    </r>
  </si>
  <si>
    <t xml:space="preserve"> this calculates the Black-Scholes Price</t>
  </si>
  <si>
    <t xml:space="preserve">    On Error GoTo error_msg       'this traps error</t>
  </si>
  <si>
    <t>Exit Function</t>
  </si>
  <si>
    <t>error_msg:</t>
  </si>
  <si>
    <t xml:space="preserve">    BSCall = "something wrong"</t>
  </si>
  <si>
    <t>End Function_x000C_</t>
  </si>
  <si>
    <t xml:space="preserve"> Function BSvec2(ByVal S As Double, ByVal K _</t>
  </si>
  <si>
    <t xml:space="preserve">    ' Comment: we have to tell VBA that we want to use Excel function "NormSDist" by adding</t>
  </si>
  <si>
    <t xml:space="preserve">    ' "WorksheetFunction." in front of NormSDIst function</t>
  </si>
  <si>
    <r>
      <t xml:space="preserve">&lt;= value of a string variable is </t>
    </r>
    <r>
      <rPr>
        <sz val="12"/>
        <color rgb="FFFF0000"/>
        <rFont val="新細明體"/>
      </rPr>
      <t>case sensitive</t>
    </r>
    <r>
      <rPr>
        <sz val="12"/>
        <rFont val="新細明體"/>
        <family val="1"/>
        <charset val="136"/>
      </rPr>
      <t>; if you enter "C" or "P", you will not get results</t>
    </r>
  </si>
  <si>
    <t xml:space="preserve">    ' ByVal indicates the d will be shared from the main program,</t>
  </si>
  <si>
    <t xml:space="preserve">    ' and CND is the output should be defined as "Double" (just for precision)</t>
  </si>
  <si>
    <r>
      <t xml:space="preserve">        BSvec = WorksheetFunction.Transpose(</t>
    </r>
    <r>
      <rPr>
        <sz val="12"/>
        <color indexed="10"/>
        <rFont val="新細明體"/>
      </rPr>
      <t>Array(opprice, opdelta)</t>
    </r>
    <r>
      <rPr>
        <sz val="12"/>
        <rFont val="新細明體"/>
      </rPr>
      <t>)</t>
    </r>
  </si>
  <si>
    <t xml:space="preserve">After adding the above lines into the module BS, we (1) select two cells A47:A48, (2) input "=BSvec(E21,E22,E23,E24,E25,E26,E27)", (3) Ctrl+Shift+Enter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</si>
</sst>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  <numFmt numFmtId="166" formatCode="#,##0_ "/>
    <numFmt numFmtId="167" formatCode="0.00_ "/>
    <numFmt numFmtId="168" formatCode="_-* #,##0.0000_-;\-* #,##0.0000_-;_-* &quot;-&quot;??_-;_-@_-"/>
    <numFmt numFmtId="169" formatCode="#,##0.0000_ "/>
    <numFmt numFmtId="170" formatCode="0.0000_ "/>
    <numFmt numFmtId="171" formatCode="0.0000"/>
    <numFmt numFmtId="172" formatCode="0.000"/>
  </numFmts>
  <fonts count="5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sz val="12"/>
      <color indexed="18"/>
      <name val="新細明體"/>
      <family val="1"/>
      <charset val="136"/>
    </font>
    <font>
      <sz val="12"/>
      <color indexed="18"/>
      <name val="Times New Roman"/>
      <family val="1"/>
    </font>
    <font>
      <sz val="16"/>
      <color indexed="18"/>
      <name val="Times New Roman"/>
      <family val="1"/>
    </font>
    <font>
      <b/>
      <sz val="12"/>
      <color indexed="18"/>
      <name val="Times New Roman"/>
      <family val="1"/>
    </font>
    <font>
      <b/>
      <sz val="12"/>
      <name val="Times New Roman"/>
      <family val="1"/>
    </font>
    <font>
      <sz val="12"/>
      <color indexed="10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2"/>
      <name val="新細明體"/>
    </font>
    <font>
      <b/>
      <sz val="12"/>
      <color indexed="18"/>
      <name val="新細明體"/>
    </font>
    <font>
      <b/>
      <sz val="12"/>
      <name val="新細明體"/>
      <family val="1"/>
      <charset val="136"/>
    </font>
    <font>
      <sz val="12"/>
      <name val="Calibri"/>
      <family val="2"/>
    </font>
    <font>
      <sz val="12"/>
      <name val="新細明體"/>
    </font>
    <font>
      <sz val="14"/>
      <name val="Times New Roman"/>
      <family val="1"/>
    </font>
    <font>
      <b/>
      <sz val="12"/>
      <color indexed="10"/>
      <name val="新細明體"/>
    </font>
    <font>
      <u/>
      <sz val="10"/>
      <color indexed="12"/>
      <name val="Arial"/>
      <family val="2"/>
    </font>
    <font>
      <sz val="12"/>
      <name val="Arial"/>
      <family val="2"/>
    </font>
    <font>
      <sz val="16"/>
      <color indexed="10"/>
      <name val="Times New Roman"/>
      <family val="1"/>
    </font>
    <font>
      <sz val="12"/>
      <color indexed="10"/>
      <name val="新細明體"/>
    </font>
    <font>
      <sz val="11"/>
      <name val="Arial"/>
      <family val="2"/>
    </font>
    <font>
      <sz val="11"/>
      <name val="Times New Roman"/>
      <family val="1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b/>
      <sz val="12"/>
      <color rgb="FFFF0000"/>
      <name val="新細明體"/>
    </font>
    <font>
      <b/>
      <sz val="12"/>
      <name val="Calibri"/>
      <family val="2"/>
      <scheme val="minor"/>
    </font>
    <font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2"/>
      <color theme="1"/>
      <name val="Calibri"/>
      <family val="2"/>
      <scheme val="minor"/>
    </font>
    <font>
      <sz val="12"/>
      <color rgb="FFFF0000"/>
      <name val="新細明體"/>
      <family val="1"/>
      <charset val="136"/>
    </font>
    <font>
      <b/>
      <sz val="14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sz val="14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新細明體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18"/>
      <name val="Calibri"/>
      <family val="2"/>
      <scheme val="minor"/>
    </font>
    <font>
      <b/>
      <sz val="12"/>
      <color rgb="FFFF0000"/>
      <name val="Arial"/>
      <family val="2"/>
    </font>
    <font>
      <sz val="12"/>
      <color rgb="FFFF0000"/>
      <name val="新細明體"/>
    </font>
    <font>
      <sz val="11"/>
      <name val="Calibri"/>
      <family val="2"/>
      <scheme val="minor"/>
    </font>
    <font>
      <b/>
      <sz val="10"/>
      <color rgb="FF0070C0"/>
      <name val="Arial"/>
      <family val="2"/>
    </font>
    <font>
      <u/>
      <sz val="12"/>
      <color theme="10"/>
      <name val="新細明體"/>
      <family val="1"/>
      <charset val="136"/>
    </font>
    <font>
      <u/>
      <sz val="12"/>
      <color theme="11"/>
      <name val="新細明體"/>
      <family val="1"/>
      <charset val="136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33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1" fillId="0" borderId="0"/>
    <xf numFmtId="0" fontId="1" fillId="0" borderId="0"/>
    <xf numFmtId="0" fontId="11" fillId="0" borderId="0"/>
    <xf numFmtId="0" fontId="27" fillId="0" borderId="0"/>
    <xf numFmtId="0" fontId="1" fillId="0" borderId="0"/>
    <xf numFmtId="0" fontId="11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251">
    <xf numFmtId="0" fontId="0" fillId="0" borderId="0" xfId="0"/>
    <xf numFmtId="0" fontId="3" fillId="0" borderId="0" xfId="0" applyFont="1"/>
    <xf numFmtId="0" fontId="0" fillId="0" borderId="0" xfId="0" applyFill="1"/>
    <xf numFmtId="0" fontId="4" fillId="2" borderId="1" xfId="0" applyFont="1" applyFill="1" applyBorder="1"/>
    <xf numFmtId="0" fontId="4" fillId="2" borderId="2" xfId="0" applyFont="1" applyFill="1" applyBorder="1"/>
    <xf numFmtId="0" fontId="6" fillId="2" borderId="3" xfId="0" applyFont="1" applyFill="1" applyBorder="1"/>
    <xf numFmtId="0" fontId="4" fillId="0" borderId="0" xfId="0" applyFont="1" applyFill="1" applyBorder="1"/>
    <xf numFmtId="0" fontId="7" fillId="3" borderId="4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5" fillId="3" borderId="9" xfId="0" applyFont="1" applyFill="1" applyBorder="1" applyAlignment="1">
      <alignment horizontal="left"/>
    </xf>
    <xf numFmtId="0" fontId="0" fillId="3" borderId="10" xfId="0" applyFill="1" applyBorder="1"/>
    <xf numFmtId="0" fontId="0" fillId="3" borderId="11" xfId="0" applyFill="1" applyBorder="1"/>
    <xf numFmtId="0" fontId="3" fillId="0" borderId="0" xfId="0" applyFont="1" applyFill="1" applyBorder="1"/>
    <xf numFmtId="0" fontId="8" fillId="0" borderId="0" xfId="0" applyFont="1"/>
    <xf numFmtId="0" fontId="8" fillId="4" borderId="4" xfId="0" applyFont="1" applyFill="1" applyBorder="1" applyAlignment="1">
      <alignment horizontal="center"/>
    </xf>
    <xf numFmtId="0" fontId="3" fillId="4" borderId="5" xfId="0" applyFont="1" applyFill="1" applyBorder="1"/>
    <xf numFmtId="0" fontId="0" fillId="4" borderId="6" xfId="0" applyFill="1" applyBorder="1"/>
    <xf numFmtId="165" fontId="0" fillId="0" borderId="12" xfId="1" applyNumberFormat="1" applyFont="1" applyFill="1" applyBorder="1"/>
    <xf numFmtId="0" fontId="0" fillId="4" borderId="0" xfId="0" applyFill="1" applyBorder="1"/>
    <xf numFmtId="0" fontId="9" fillId="0" borderId="0" xfId="0" applyFont="1"/>
    <xf numFmtId="167" fontId="3" fillId="0" borderId="12" xfId="19" applyNumberFormat="1" applyFont="1" applyFill="1" applyBorder="1"/>
    <xf numFmtId="10" fontId="0" fillId="0" borderId="12" xfId="0" applyNumberFormat="1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164" fontId="0" fillId="0" borderId="0" xfId="0" applyNumberFormat="1"/>
    <xf numFmtId="166" fontId="3" fillId="0" borderId="12" xfId="0" applyNumberFormat="1" applyFont="1" applyFill="1" applyBorder="1"/>
    <xf numFmtId="0" fontId="10" fillId="0" borderId="0" xfId="0" applyFont="1"/>
    <xf numFmtId="0" fontId="0" fillId="2" borderId="0" xfId="0" applyFill="1"/>
    <xf numFmtId="0" fontId="0" fillId="2" borderId="10" xfId="0" applyFill="1" applyBorder="1"/>
    <xf numFmtId="0" fontId="10" fillId="2" borderId="0" xfId="0" applyFont="1" applyFill="1"/>
    <xf numFmtId="10" fontId="0" fillId="2" borderId="0" xfId="19" applyNumberFormat="1" applyFont="1" applyFill="1"/>
    <xf numFmtId="0" fontId="12" fillId="0" borderId="0" xfId="0" applyFont="1"/>
    <xf numFmtId="0" fontId="28" fillId="0" borderId="0" xfId="0" applyFont="1"/>
    <xf numFmtId="2" fontId="29" fillId="2" borderId="0" xfId="0" applyNumberFormat="1" applyFont="1" applyFill="1"/>
    <xf numFmtId="0" fontId="0" fillId="0" borderId="0" xfId="0" quotePrefix="1"/>
    <xf numFmtId="0" fontId="0" fillId="9" borderId="0" xfId="0" applyFill="1"/>
    <xf numFmtId="0" fontId="30" fillId="0" borderId="0" xfId="0" applyFont="1"/>
    <xf numFmtId="0" fontId="6" fillId="10" borderId="3" xfId="0" applyFont="1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/>
    <xf numFmtId="0" fontId="5" fillId="0" borderId="0" xfId="0" applyFont="1" applyFill="1" applyBorder="1" applyAlignment="1">
      <alignment horizontal="left"/>
    </xf>
    <xf numFmtId="0" fontId="6" fillId="10" borderId="3" xfId="0" applyFont="1" applyFill="1" applyBorder="1"/>
    <xf numFmtId="0" fontId="4" fillId="10" borderId="1" xfId="0" applyFont="1" applyFill="1" applyBorder="1"/>
    <xf numFmtId="0" fontId="4" fillId="10" borderId="2" xfId="0" applyFont="1" applyFill="1" applyBorder="1"/>
    <xf numFmtId="0" fontId="0" fillId="10" borderId="10" xfId="0" applyFill="1" applyBorder="1"/>
    <xf numFmtId="0" fontId="0" fillId="10" borderId="0" xfId="0" applyFill="1"/>
    <xf numFmtId="169" fontId="13" fillId="11" borderId="8" xfId="0" applyNumberFormat="1" applyFont="1" applyFill="1" applyBorder="1"/>
    <xf numFmtId="0" fontId="3" fillId="11" borderId="0" xfId="0" applyFont="1" applyFill="1" applyBorder="1"/>
    <xf numFmtId="0" fontId="0" fillId="11" borderId="0" xfId="0" applyFill="1"/>
    <xf numFmtId="10" fontId="0" fillId="0" borderId="4" xfId="19" applyNumberFormat="1" applyFont="1" applyFill="1" applyBorder="1"/>
    <xf numFmtId="0" fontId="31" fillId="0" borderId="0" xfId="0" applyFont="1"/>
    <xf numFmtId="0" fontId="8" fillId="12" borderId="4" xfId="0" applyFont="1" applyFill="1" applyBorder="1" applyAlignment="1"/>
    <xf numFmtId="0" fontId="0" fillId="12" borderId="0" xfId="0" applyFill="1"/>
    <xf numFmtId="0" fontId="3" fillId="12" borderId="5" xfId="0" applyFont="1" applyFill="1" applyBorder="1"/>
    <xf numFmtId="0" fontId="0" fillId="12" borderId="6" xfId="0" applyFill="1" applyBorder="1"/>
    <xf numFmtId="165" fontId="1" fillId="12" borderId="12" xfId="1" applyNumberFormat="1" applyFont="1" applyFill="1" applyBorder="1"/>
    <xf numFmtId="0" fontId="0" fillId="12" borderId="0" xfId="0" applyFill="1" applyBorder="1"/>
    <xf numFmtId="166" fontId="3" fillId="12" borderId="12" xfId="0" applyNumberFormat="1" applyFont="1" applyFill="1" applyBorder="1"/>
    <xf numFmtId="167" fontId="3" fillId="12" borderId="12" xfId="19" applyNumberFormat="1" applyFont="1" applyFill="1" applyBorder="1"/>
    <xf numFmtId="10" fontId="0" fillId="12" borderId="12" xfId="0" applyNumberFormat="1" applyFill="1" applyBorder="1"/>
    <xf numFmtId="10" fontId="1" fillId="12" borderId="12" xfId="19" applyNumberFormat="1" applyFont="1" applyFill="1" applyBorder="1"/>
    <xf numFmtId="0" fontId="3" fillId="12" borderId="9" xfId="0" applyFont="1" applyFill="1" applyBorder="1"/>
    <xf numFmtId="0" fontId="0" fillId="12" borderId="10" xfId="0" applyFill="1" applyBorder="1"/>
    <xf numFmtId="0" fontId="0" fillId="12" borderId="11" xfId="0" applyFill="1" applyBorder="1"/>
    <xf numFmtId="171" fontId="32" fillId="11" borderId="0" xfId="13" applyNumberFormat="1" applyFont="1" applyFill="1"/>
    <xf numFmtId="0" fontId="6" fillId="10" borderId="0" xfId="0" applyFont="1" applyFill="1" applyBorder="1"/>
    <xf numFmtId="0" fontId="4" fillId="10" borderId="0" xfId="0" applyFont="1" applyFill="1" applyBorder="1"/>
    <xf numFmtId="0" fontId="0" fillId="10" borderId="0" xfId="0" applyFill="1" applyBorder="1"/>
    <xf numFmtId="165" fontId="29" fillId="11" borderId="0" xfId="1" applyNumberFormat="1" applyFont="1" applyFill="1" applyBorder="1"/>
    <xf numFmtId="166" fontId="29" fillId="11" borderId="0" xfId="0" applyNumberFormat="1" applyFont="1" applyFill="1" applyBorder="1"/>
    <xf numFmtId="167" fontId="29" fillId="11" borderId="0" xfId="19" applyNumberFormat="1" applyFont="1" applyFill="1" applyBorder="1"/>
    <xf numFmtId="10" fontId="29" fillId="11" borderId="0" xfId="0" applyNumberFormat="1" applyFont="1" applyFill="1" applyBorder="1"/>
    <xf numFmtId="10" fontId="29" fillId="11" borderId="0" xfId="19" applyNumberFormat="1" applyFont="1" applyFill="1" applyBorder="1"/>
    <xf numFmtId="0" fontId="5" fillId="11" borderId="0" xfId="0" applyFont="1" applyFill="1" applyBorder="1" applyAlignment="1">
      <alignment horizontal="left"/>
    </xf>
    <xf numFmtId="0" fontId="0" fillId="11" borderId="0" xfId="0" applyFill="1" applyBorder="1"/>
    <xf numFmtId="0" fontId="3" fillId="11" borderId="5" xfId="0" applyFont="1" applyFill="1" applyBorder="1"/>
    <xf numFmtId="0" fontId="8" fillId="11" borderId="0" xfId="0" applyFont="1" applyFill="1" applyBorder="1" applyAlignment="1"/>
    <xf numFmtId="0" fontId="33" fillId="0" borderId="0" xfId="0" applyFont="1" applyFill="1"/>
    <xf numFmtId="0" fontId="30" fillId="0" borderId="0" xfId="0" applyFont="1" applyFill="1" applyBorder="1" applyAlignment="1">
      <alignment horizontal="left"/>
    </xf>
    <xf numFmtId="0" fontId="33" fillId="0" borderId="0" xfId="0" applyFont="1" applyFill="1" applyBorder="1"/>
    <xf numFmtId="0" fontId="3" fillId="0" borderId="0" xfId="0" applyFont="1" applyFill="1" applyBorder="1" applyAlignment="1">
      <alignment horizontal="left"/>
    </xf>
    <xf numFmtId="171" fontId="8" fillId="0" borderId="0" xfId="0" applyNumberFormat="1" applyFont="1" applyFill="1" applyBorder="1"/>
    <xf numFmtId="0" fontId="34" fillId="11" borderId="0" xfId="0" applyFont="1" applyFill="1" applyBorder="1" applyAlignment="1">
      <alignment horizontal="right"/>
    </xf>
    <xf numFmtId="165" fontId="35" fillId="12" borderId="12" xfId="1" applyNumberFormat="1" applyFont="1" applyFill="1" applyBorder="1"/>
    <xf numFmtId="166" fontId="35" fillId="12" borderId="12" xfId="0" applyNumberFormat="1" applyFont="1" applyFill="1" applyBorder="1"/>
    <xf numFmtId="167" fontId="35" fillId="12" borderId="12" xfId="19" applyNumberFormat="1" applyFont="1" applyFill="1" applyBorder="1"/>
    <xf numFmtId="10" fontId="35" fillId="12" borderId="12" xfId="0" applyNumberFormat="1" applyFont="1" applyFill="1" applyBorder="1"/>
    <xf numFmtId="10" fontId="35" fillId="12" borderId="12" xfId="19" applyNumberFormat="1" applyFont="1" applyFill="1" applyBorder="1"/>
    <xf numFmtId="0" fontId="29" fillId="0" borderId="0" xfId="0" applyFont="1"/>
    <xf numFmtId="0" fontId="36" fillId="0" borderId="0" xfId="0" applyFont="1"/>
    <xf numFmtId="0" fontId="37" fillId="10" borderId="0" xfId="0" applyFont="1" applyFill="1" applyBorder="1"/>
    <xf numFmtId="0" fontId="38" fillId="10" borderId="0" xfId="0" applyFont="1" applyFill="1" applyBorder="1"/>
    <xf numFmtId="0" fontId="29" fillId="10" borderId="0" xfId="0" applyFont="1" applyFill="1" applyBorder="1"/>
    <xf numFmtId="0" fontId="29" fillId="10" borderId="0" xfId="0" applyFont="1" applyFill="1"/>
    <xf numFmtId="0" fontId="3" fillId="12" borderId="0" xfId="0" applyFont="1" applyFill="1" applyBorder="1"/>
    <xf numFmtId="0" fontId="16" fillId="0" borderId="0" xfId="0" applyFont="1"/>
    <xf numFmtId="165" fontId="35" fillId="12" borderId="0" xfId="1" applyNumberFormat="1" applyFont="1" applyFill="1" applyBorder="1"/>
    <xf numFmtId="167" fontId="35" fillId="12" borderId="0" xfId="19" applyNumberFormat="1" applyFont="1" applyFill="1" applyBorder="1"/>
    <xf numFmtId="10" fontId="35" fillId="12" borderId="0" xfId="0" applyNumberFormat="1" applyFont="1" applyFill="1" applyBorder="1"/>
    <xf numFmtId="166" fontId="35" fillId="12" borderId="0" xfId="0" applyNumberFormat="1" applyFont="1" applyFill="1" applyBorder="1"/>
    <xf numFmtId="171" fontId="27" fillId="11" borderId="0" xfId="14" applyNumberFormat="1" applyFill="1"/>
    <xf numFmtId="10" fontId="35" fillId="12" borderId="0" xfId="19" applyNumberFormat="1" applyFont="1" applyFill="1" applyBorder="1"/>
    <xf numFmtId="0" fontId="31" fillId="0" borderId="0" xfId="0" applyFont="1" applyFill="1" applyBorder="1"/>
    <xf numFmtId="0" fontId="5" fillId="10" borderId="5" xfId="0" applyFont="1" applyFill="1" applyBorder="1" applyAlignment="1">
      <alignment horizontal="left"/>
    </xf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5" fillId="10" borderId="9" xfId="0" applyFont="1" applyFill="1" applyBorder="1" applyAlignment="1">
      <alignment horizontal="left"/>
    </xf>
    <xf numFmtId="0" fontId="0" fillId="10" borderId="11" xfId="0" applyFill="1" applyBorder="1"/>
    <xf numFmtId="0" fontId="35" fillId="11" borderId="0" xfId="0" applyFont="1" applyFill="1" applyAlignment="1">
      <alignment horizontal="right"/>
    </xf>
    <xf numFmtId="0" fontId="8" fillId="9" borderId="4" xfId="0" applyFont="1" applyFill="1" applyBorder="1" applyAlignment="1">
      <alignment horizontal="center"/>
    </xf>
    <xf numFmtId="0" fontId="3" fillId="9" borderId="5" xfId="0" applyFont="1" applyFill="1" applyBorder="1"/>
    <xf numFmtId="0" fontId="0" fillId="9" borderId="0" xfId="0" applyFill="1" applyBorder="1"/>
    <xf numFmtId="0" fontId="35" fillId="11" borderId="0" xfId="0" applyFont="1" applyFill="1" applyBorder="1" applyAlignment="1">
      <alignment horizontal="right"/>
    </xf>
    <xf numFmtId="0" fontId="35" fillId="0" borderId="0" xfId="0" applyFont="1"/>
    <xf numFmtId="0" fontId="35" fillId="9" borderId="0" xfId="0" applyFont="1" applyFill="1"/>
    <xf numFmtId="171" fontId="32" fillId="9" borderId="0" xfId="18" applyNumberFormat="1" applyFont="1" applyFill="1"/>
    <xf numFmtId="0" fontId="17" fillId="0" borderId="0" xfId="0" applyFont="1" applyFill="1" applyBorder="1"/>
    <xf numFmtId="0" fontId="8" fillId="11" borderId="0" xfId="0" applyFont="1" applyFill="1" applyBorder="1"/>
    <xf numFmtId="0" fontId="14" fillId="11" borderId="0" xfId="0" applyFont="1" applyFill="1" applyBorder="1"/>
    <xf numFmtId="0" fontId="35" fillId="11" borderId="0" xfId="0" applyFont="1" applyFill="1" applyBorder="1"/>
    <xf numFmtId="0" fontId="29" fillId="10" borderId="10" xfId="0" applyFont="1" applyFill="1" applyBorder="1"/>
    <xf numFmtId="0" fontId="29" fillId="10" borderId="11" xfId="0" applyFont="1" applyFill="1" applyBorder="1"/>
    <xf numFmtId="0" fontId="17" fillId="0" borderId="0" xfId="0" applyFont="1" applyFill="1" applyBorder="1" applyAlignment="1">
      <alignment horizontal="left"/>
    </xf>
    <xf numFmtId="0" fontId="3" fillId="9" borderId="0" xfId="0" applyFont="1" applyFill="1" applyBorder="1"/>
    <xf numFmtId="171" fontId="32" fillId="9" borderId="0" xfId="15" applyNumberFormat="1" applyFont="1" applyFill="1" applyBorder="1"/>
    <xf numFmtId="0" fontId="8" fillId="9" borderId="0" xfId="0" applyFont="1" applyFill="1" applyBorder="1" applyAlignment="1">
      <alignment horizontal="left"/>
    </xf>
    <xf numFmtId="0" fontId="39" fillId="0" borderId="0" xfId="0" applyFont="1" applyFill="1"/>
    <xf numFmtId="0" fontId="40" fillId="0" borderId="0" xfId="0" applyFont="1" applyFill="1"/>
    <xf numFmtId="0" fontId="41" fillId="0" borderId="0" xfId="0" applyFont="1"/>
    <xf numFmtId="0" fontId="3" fillId="11" borderId="0" xfId="0" applyFont="1" applyFill="1" applyBorder="1" applyAlignment="1"/>
    <xf numFmtId="0" fontId="35" fillId="0" borderId="0" xfId="0" applyFont="1" applyFill="1" applyBorder="1" applyAlignment="1">
      <alignment horizontal="right"/>
    </xf>
    <xf numFmtId="165" fontId="35" fillId="11" borderId="0" xfId="1" applyNumberFormat="1" applyFont="1" applyFill="1" applyBorder="1"/>
    <xf numFmtId="166" fontId="35" fillId="11" borderId="0" xfId="0" applyNumberFormat="1" applyFont="1" applyFill="1" applyBorder="1"/>
    <xf numFmtId="167" fontId="35" fillId="11" borderId="0" xfId="19" applyNumberFormat="1" applyFont="1" applyFill="1" applyBorder="1"/>
    <xf numFmtId="10" fontId="35" fillId="11" borderId="0" xfId="0" applyNumberFormat="1" applyFont="1" applyFill="1" applyBorder="1"/>
    <xf numFmtId="10" fontId="35" fillId="11" borderId="0" xfId="19" applyNumberFormat="1" applyFont="1" applyFill="1" applyBorder="1"/>
    <xf numFmtId="0" fontId="42" fillId="0" borderId="0" xfId="0" applyFont="1"/>
    <xf numFmtId="0" fontId="43" fillId="0" borderId="0" xfId="0" applyFont="1"/>
    <xf numFmtId="0" fontId="35" fillId="0" borderId="0" xfId="6" applyFont="1"/>
    <xf numFmtId="171" fontId="35" fillId="0" borderId="0" xfId="6" applyNumberFormat="1" applyFont="1"/>
    <xf numFmtId="171" fontId="32" fillId="0" borderId="0" xfId="16" applyNumberFormat="1" applyFont="1"/>
    <xf numFmtId="0" fontId="29" fillId="9" borderId="0" xfId="0" applyFont="1" applyFill="1" applyBorder="1"/>
    <xf numFmtId="0" fontId="29" fillId="9" borderId="0" xfId="0" applyFont="1" applyFill="1"/>
    <xf numFmtId="0" fontId="27" fillId="0" borderId="0" xfId="16" applyFont="1"/>
    <xf numFmtId="0" fontId="29" fillId="9" borderId="0" xfId="6" applyFont="1" applyFill="1" applyBorder="1"/>
    <xf numFmtId="0" fontId="29" fillId="9" borderId="0" xfId="6" applyFont="1" applyFill="1"/>
    <xf numFmtId="0" fontId="35" fillId="13" borderId="0" xfId="0" applyFont="1" applyFill="1"/>
    <xf numFmtId="171" fontId="35" fillId="13" borderId="0" xfId="6" applyNumberFormat="1" applyFont="1" applyFill="1"/>
    <xf numFmtId="0" fontId="35" fillId="13" borderId="0" xfId="6" applyFont="1" applyFill="1"/>
    <xf numFmtId="171" fontId="32" fillId="0" borderId="0" xfId="17" applyNumberFormat="1" applyFont="1"/>
    <xf numFmtId="169" fontId="4" fillId="0" borderId="0" xfId="0" applyNumberFormat="1" applyFont="1" applyFill="1" applyBorder="1"/>
    <xf numFmtId="0" fontId="4" fillId="10" borderId="2" xfId="7" applyFont="1" applyFill="1" applyBorder="1"/>
    <xf numFmtId="0" fontId="4" fillId="10" borderId="1" xfId="7" applyFont="1" applyFill="1" applyBorder="1"/>
    <xf numFmtId="0" fontId="6" fillId="10" borderId="3" xfId="7" applyFont="1" applyFill="1" applyBorder="1"/>
    <xf numFmtId="0" fontId="11" fillId="0" borderId="0" xfId="7"/>
    <xf numFmtId="0" fontId="11" fillId="10" borderId="0" xfId="7" applyFill="1"/>
    <xf numFmtId="0" fontId="5" fillId="0" borderId="0" xfId="7" applyFont="1" applyFill="1" applyBorder="1"/>
    <xf numFmtId="0" fontId="4" fillId="0" borderId="0" xfId="7" applyFont="1" applyFill="1" applyBorder="1"/>
    <xf numFmtId="0" fontId="8" fillId="0" borderId="0" xfId="7" applyFont="1"/>
    <xf numFmtId="0" fontId="3" fillId="0" borderId="0" xfId="7" applyFont="1"/>
    <xf numFmtId="0" fontId="8" fillId="4" borderId="4" xfId="7" applyFont="1" applyFill="1" applyBorder="1" applyAlignment="1">
      <alignment horizontal="center"/>
    </xf>
    <xf numFmtId="0" fontId="3" fillId="4" borderId="5" xfId="7" applyFont="1" applyFill="1" applyBorder="1"/>
    <xf numFmtId="0" fontId="11" fillId="4" borderId="6" xfId="7" applyFill="1" applyBorder="1"/>
    <xf numFmtId="0" fontId="11" fillId="4" borderId="0" xfId="7" applyFill="1" applyBorder="1"/>
    <xf numFmtId="0" fontId="9" fillId="0" borderId="0" xfId="7" applyFont="1"/>
    <xf numFmtId="0" fontId="3" fillId="4" borderId="9" xfId="7" applyFont="1" applyFill="1" applyBorder="1"/>
    <xf numFmtId="0" fontId="11" fillId="4" borderId="10" xfId="7" applyFill="1" applyBorder="1"/>
    <xf numFmtId="0" fontId="8" fillId="5" borderId="4" xfId="7" applyFont="1" applyFill="1" applyBorder="1" applyAlignment="1">
      <alignment horizontal="center"/>
    </xf>
    <xf numFmtId="0" fontId="3" fillId="5" borderId="5" xfId="7" applyFont="1" applyFill="1" applyBorder="1"/>
    <xf numFmtId="0" fontId="11" fillId="5" borderId="6" xfId="7" applyFill="1" applyBorder="1"/>
    <xf numFmtId="0" fontId="11" fillId="5" borderId="0" xfId="7" applyFill="1" applyBorder="1"/>
    <xf numFmtId="0" fontId="3" fillId="5" borderId="9" xfId="7" applyFont="1" applyFill="1" applyBorder="1"/>
    <xf numFmtId="0" fontId="11" fillId="5" borderId="10" xfId="7" applyFill="1" applyBorder="1"/>
    <xf numFmtId="0" fontId="3" fillId="6" borderId="3" xfId="7" applyFont="1" applyFill="1" applyBorder="1"/>
    <xf numFmtId="0" fontId="11" fillId="6" borderId="1" xfId="7" applyFill="1" applyBorder="1"/>
    <xf numFmtId="0" fontId="11" fillId="0" borderId="0" xfId="7" applyFill="1"/>
    <xf numFmtId="0" fontId="3" fillId="0" borderId="5" xfId="7" applyFont="1" applyFill="1" applyBorder="1"/>
    <xf numFmtId="0" fontId="11" fillId="0" borderId="0" xfId="7" applyFill="1" applyBorder="1"/>
    <xf numFmtId="167" fontId="35" fillId="0" borderId="12" xfId="22" applyNumberFormat="1" applyFont="1" applyFill="1" applyBorder="1"/>
    <xf numFmtId="165" fontId="35" fillId="0" borderId="12" xfId="4" applyNumberFormat="1" applyFont="1" applyFill="1" applyBorder="1"/>
    <xf numFmtId="166" fontId="35" fillId="0" borderId="12" xfId="7" applyNumberFormat="1" applyFont="1" applyFill="1" applyBorder="1"/>
    <xf numFmtId="10" fontId="35" fillId="0" borderId="12" xfId="7" applyNumberFormat="1" applyFont="1" applyFill="1" applyBorder="1"/>
    <xf numFmtId="10" fontId="35" fillId="0" borderId="12" xfId="22" applyNumberFormat="1" applyFont="1" applyFill="1" applyBorder="1"/>
    <xf numFmtId="0" fontId="35" fillId="4" borderId="11" xfId="7" applyFont="1" applyFill="1" applyBorder="1"/>
    <xf numFmtId="169" fontId="35" fillId="0" borderId="0" xfId="7" applyNumberFormat="1" applyFont="1"/>
    <xf numFmtId="164" fontId="35" fillId="0" borderId="0" xfId="7" applyNumberFormat="1" applyFont="1"/>
    <xf numFmtId="0" fontId="20" fillId="0" borderId="0" xfId="7" applyFont="1"/>
    <xf numFmtId="168" fontId="4" fillId="0" borderId="0" xfId="1" applyNumberFormat="1" applyFont="1" applyFill="1" applyBorder="1"/>
    <xf numFmtId="171" fontId="29" fillId="2" borderId="0" xfId="0" applyNumberFormat="1" applyFont="1" applyFill="1"/>
    <xf numFmtId="169" fontId="44" fillId="5" borderId="8" xfId="7" applyNumberFormat="1" applyFont="1" applyFill="1" applyBorder="1"/>
    <xf numFmtId="169" fontId="35" fillId="6" borderId="2" xfId="7" applyNumberFormat="1" applyFont="1" applyFill="1" applyBorder="1"/>
    <xf numFmtId="169" fontId="44" fillId="0" borderId="8" xfId="7" applyNumberFormat="1" applyFont="1" applyFill="1" applyBorder="1"/>
    <xf numFmtId="168" fontId="44" fillId="5" borderId="11" xfId="4" applyNumberFormat="1" applyFont="1" applyFill="1" applyBorder="1"/>
    <xf numFmtId="164" fontId="11" fillId="0" borderId="0" xfId="7" applyNumberFormat="1"/>
    <xf numFmtId="169" fontId="44" fillId="5" borderId="8" xfId="7" applyNumberFormat="1" applyFont="1" applyFill="1" applyBorder="1"/>
    <xf numFmtId="169" fontId="35" fillId="6" borderId="2" xfId="7" applyNumberFormat="1" applyFont="1" applyFill="1" applyBorder="1"/>
    <xf numFmtId="168" fontId="44" fillId="5" borderId="7" xfId="4" applyNumberFormat="1" applyFont="1" applyFill="1" applyBorder="1"/>
    <xf numFmtId="0" fontId="35" fillId="4" borderId="11" xfId="7" applyFont="1" applyFill="1" applyBorder="1"/>
    <xf numFmtId="0" fontId="11" fillId="2" borderId="10" xfId="7" applyFill="1" applyBorder="1"/>
    <xf numFmtId="0" fontId="7" fillId="0" borderId="0" xfId="7" applyFont="1" applyFill="1" applyBorder="1" applyAlignment="1">
      <alignment horizontal="left"/>
    </xf>
    <xf numFmtId="0" fontId="5" fillId="0" borderId="0" xfId="7" applyFont="1" applyFill="1" applyBorder="1" applyAlignment="1">
      <alignment horizontal="left"/>
    </xf>
    <xf numFmtId="0" fontId="3" fillId="7" borderId="13" xfId="7" applyFont="1" applyFill="1" applyBorder="1" applyAlignment="1">
      <alignment horizontal="left"/>
    </xf>
    <xf numFmtId="0" fontId="3" fillId="7" borderId="7" xfId="7" applyFont="1" applyFill="1" applyBorder="1" applyAlignment="1">
      <alignment horizontal="left"/>
    </xf>
    <xf numFmtId="0" fontId="3" fillId="8" borderId="13" xfId="7" applyFont="1" applyFill="1" applyBorder="1" applyAlignment="1">
      <alignment horizontal="left"/>
    </xf>
    <xf numFmtId="0" fontId="3" fillId="8" borderId="7" xfId="7" applyFont="1" applyFill="1" applyBorder="1" applyAlignment="1">
      <alignment horizontal="left"/>
    </xf>
    <xf numFmtId="0" fontId="11" fillId="7" borderId="5" xfId="7" applyFill="1" applyBorder="1" applyAlignment="1">
      <alignment horizontal="left"/>
    </xf>
    <xf numFmtId="170" fontId="11" fillId="7" borderId="8" xfId="7" applyNumberFormat="1" applyFill="1" applyBorder="1" applyAlignment="1">
      <alignment horizontal="left"/>
    </xf>
    <xf numFmtId="10" fontId="11" fillId="8" borderId="5" xfId="7" applyNumberFormat="1" applyFill="1" applyBorder="1" applyAlignment="1">
      <alignment horizontal="left"/>
    </xf>
    <xf numFmtId="170" fontId="11" fillId="8" borderId="8" xfId="7" applyNumberFormat="1" applyFill="1" applyBorder="1" applyAlignment="1">
      <alignment horizontal="left"/>
    </xf>
    <xf numFmtId="10" fontId="11" fillId="0" borderId="0" xfId="7" applyNumberFormat="1" applyAlignment="1">
      <alignment horizontal="left"/>
    </xf>
    <xf numFmtId="170" fontId="11" fillId="0" borderId="0" xfId="7" applyNumberFormat="1" applyAlignment="1">
      <alignment horizontal="left"/>
    </xf>
    <xf numFmtId="0" fontId="11" fillId="7" borderId="9" xfId="7" applyFill="1" applyBorder="1" applyAlignment="1">
      <alignment horizontal="left"/>
    </xf>
    <xf numFmtId="0" fontId="45" fillId="0" borderId="0" xfId="7" applyFont="1"/>
    <xf numFmtId="0" fontId="45" fillId="0" borderId="0" xfId="7" applyFont="1"/>
    <xf numFmtId="0" fontId="3" fillId="0" borderId="0" xfId="7" applyFont="1" applyFill="1" applyBorder="1" applyAlignment="1">
      <alignment horizontal="left"/>
    </xf>
    <xf numFmtId="0" fontId="11" fillId="0" borderId="0" xfId="7" applyFill="1" applyBorder="1" applyAlignment="1">
      <alignment horizontal="left"/>
    </xf>
    <xf numFmtId="170" fontId="11" fillId="0" borderId="0" xfId="7" applyNumberFormat="1" applyFill="1" applyBorder="1" applyAlignment="1">
      <alignment horizontal="left"/>
    </xf>
    <xf numFmtId="0" fontId="11" fillId="0" borderId="0" xfId="7" applyFont="1"/>
    <xf numFmtId="0" fontId="11" fillId="9" borderId="0" xfId="7" applyFill="1"/>
    <xf numFmtId="0" fontId="11" fillId="10" borderId="0" xfId="7" applyFill="1"/>
    <xf numFmtId="171" fontId="11" fillId="0" borderId="0" xfId="7" applyNumberFormat="1"/>
    <xf numFmtId="2" fontId="11" fillId="10" borderId="0" xfId="7" applyNumberFormat="1" applyFill="1"/>
    <xf numFmtId="171" fontId="11" fillId="10" borderId="0" xfId="7" applyNumberFormat="1" applyFill="1"/>
    <xf numFmtId="2" fontId="11" fillId="9" borderId="0" xfId="7" applyNumberFormat="1" applyFill="1"/>
    <xf numFmtId="172" fontId="11" fillId="9" borderId="0" xfId="7" applyNumberFormat="1" applyFill="1"/>
    <xf numFmtId="0" fontId="46" fillId="0" borderId="0" xfId="0" applyFont="1"/>
    <xf numFmtId="0" fontId="3" fillId="11" borderId="0" xfId="0" applyFont="1" applyFill="1" applyBorder="1" applyAlignment="1">
      <alignment horizontal="right"/>
    </xf>
    <xf numFmtId="2" fontId="23" fillId="0" borderId="12" xfId="2" applyNumberFormat="1" applyFont="1" applyFill="1" applyBorder="1"/>
    <xf numFmtId="2" fontId="23" fillId="0" borderId="12" xfId="7" applyNumberFormat="1" applyFont="1" applyFill="1" applyBorder="1"/>
    <xf numFmtId="2" fontId="24" fillId="0" borderId="12" xfId="20" applyNumberFormat="1" applyFont="1" applyFill="1" applyBorder="1"/>
    <xf numFmtId="10" fontId="23" fillId="0" borderId="12" xfId="7" applyNumberFormat="1" applyFont="1" applyFill="1" applyBorder="1"/>
    <xf numFmtId="10" fontId="23" fillId="0" borderId="12" xfId="20" applyNumberFormat="1" applyFont="1" applyFill="1" applyBorder="1"/>
    <xf numFmtId="10" fontId="23" fillId="0" borderId="11" xfId="7" applyNumberFormat="1" applyFont="1" applyFill="1" applyBorder="1"/>
    <xf numFmtId="2" fontId="47" fillId="0" borderId="12" xfId="2" applyNumberFormat="1" applyFont="1" applyFill="1" applyBorder="1"/>
    <xf numFmtId="2" fontId="47" fillId="0" borderId="12" xfId="7" applyNumberFormat="1" applyFont="1" applyFill="1" applyBorder="1"/>
    <xf numFmtId="2" fontId="47" fillId="0" borderId="12" xfId="20" applyNumberFormat="1" applyFont="1" applyFill="1" applyBorder="1"/>
    <xf numFmtId="10" fontId="47" fillId="0" borderId="12" xfId="7" applyNumberFormat="1" applyFont="1" applyFill="1" applyBorder="1"/>
    <xf numFmtId="10" fontId="47" fillId="0" borderId="12" xfId="20" applyNumberFormat="1" applyFont="1" applyFill="1" applyBorder="1"/>
    <xf numFmtId="10" fontId="47" fillId="0" borderId="11" xfId="7" applyNumberFormat="1" applyFont="1" applyFill="1" applyBorder="1"/>
    <xf numFmtId="171" fontId="32" fillId="0" borderId="0" xfId="18" applyNumberFormat="1" applyFont="1" applyFill="1"/>
    <xf numFmtId="0" fontId="29" fillId="0" borderId="0" xfId="0" applyFont="1" applyFill="1" applyBorder="1"/>
    <xf numFmtId="0" fontId="33" fillId="0" borderId="0" xfId="0" applyFont="1"/>
    <xf numFmtId="0" fontId="48" fillId="0" borderId="0" xfId="7" applyFont="1"/>
    <xf numFmtId="0" fontId="0" fillId="10" borderId="1" xfId="0" applyFill="1" applyBorder="1"/>
    <xf numFmtId="0" fontId="39" fillId="0" borderId="0" xfId="0" applyFont="1" applyFill="1" applyBorder="1"/>
  </cellXfs>
  <cellStyles count="33">
    <cellStyle name="Comma" xfId="1" builtinId="3"/>
    <cellStyle name="Comma 2" xfId="2"/>
    <cellStyle name="Comma 3" xfId="3"/>
    <cellStyle name="Comma 4" xfId="4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 2" xfId="5"/>
    <cellStyle name="Normal" xfId="0" builtinId="0"/>
    <cellStyle name="Normal 2" xfId="6"/>
    <cellStyle name="Normal 2 2" xfId="7"/>
    <cellStyle name="Normal 3" xfId="8"/>
    <cellStyle name="Normal 3 2" xfId="9"/>
    <cellStyle name="Normal 4" xfId="10"/>
    <cellStyle name="Normal 4 2" xfId="11"/>
    <cellStyle name="Normal 5" xfId="12"/>
    <cellStyle name="Normal_BS EuroPut" xfId="13"/>
    <cellStyle name="Normal_BS general" xfId="14"/>
    <cellStyle name="Normal_BSArrayExer" xfId="15"/>
    <cellStyle name="Normal_BStable" xfId="16"/>
    <cellStyle name="Normal_Exercise4-ans" xfId="17"/>
    <cellStyle name="Normal_SuperBS" xfId="18"/>
    <cellStyle name="Percent" xfId="19" builtinId="5"/>
    <cellStyle name="Percent 2" xfId="20"/>
    <cellStyle name="Percent 3" xfId="21"/>
    <cellStyle name="Percent 4" xfId="2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Call option price vs.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'BS chart'!$C$13</c:f>
              <c:strCache>
                <c:ptCount val="1"/>
                <c:pt idx="0">
                  <c:v>Call Option Price</c:v>
                </c:pt>
              </c:strCache>
            </c:strRef>
          </c:tx>
          <c:marker>
            <c:symbol val="none"/>
          </c:marker>
          <c:cat>
            <c:numRef>
              <c:f>'BS chart'!$B$14:$B$62</c:f>
              <c:numCache>
                <c:formatCode>General</c:formatCode>
                <c:ptCount val="4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  <c:pt idx="30">
                  <c:v>160</c:v>
                </c:pt>
                <c:pt idx="31">
                  <c:v>165</c:v>
                </c:pt>
                <c:pt idx="32">
                  <c:v>170</c:v>
                </c:pt>
                <c:pt idx="33">
                  <c:v>175</c:v>
                </c:pt>
                <c:pt idx="34">
                  <c:v>180</c:v>
                </c:pt>
                <c:pt idx="35">
                  <c:v>185</c:v>
                </c:pt>
                <c:pt idx="36">
                  <c:v>190</c:v>
                </c:pt>
                <c:pt idx="37">
                  <c:v>195</c:v>
                </c:pt>
                <c:pt idx="38">
                  <c:v>200</c:v>
                </c:pt>
                <c:pt idx="39">
                  <c:v>205</c:v>
                </c:pt>
                <c:pt idx="40">
                  <c:v>210</c:v>
                </c:pt>
                <c:pt idx="41">
                  <c:v>215</c:v>
                </c:pt>
                <c:pt idx="42">
                  <c:v>220</c:v>
                </c:pt>
                <c:pt idx="43">
                  <c:v>225</c:v>
                </c:pt>
                <c:pt idx="44">
                  <c:v>230</c:v>
                </c:pt>
                <c:pt idx="45">
                  <c:v>235</c:v>
                </c:pt>
                <c:pt idx="46">
                  <c:v>240</c:v>
                </c:pt>
                <c:pt idx="47">
                  <c:v>245</c:v>
                </c:pt>
                <c:pt idx="48">
                  <c:v>250</c:v>
                </c:pt>
              </c:numCache>
            </c:numRef>
          </c:cat>
          <c:val>
            <c:numRef>
              <c:f>'BS chart'!$C$14:$C$62</c:f>
              <c:numCache>
                <c:formatCode>0.0000_ </c:formatCode>
                <c:ptCount val="49"/>
                <c:pt idx="0">
                  <c:v>1.3457542908829083E-8</c:v>
                </c:pt>
                <c:pt idx="1">
                  <c:v>4.4700287081687636E-6</c:v>
                </c:pt>
                <c:pt idx="2">
                  <c:v>1.5355946885002854E-4</c:v>
                </c:pt>
                <c:pt idx="3">
                  <c:v>1.7215564110050919E-3</c:v>
                </c:pt>
                <c:pt idx="4">
                  <c:v>1.0081565446958939E-2</c:v>
                </c:pt>
                <c:pt idx="5">
                  <c:v>3.8973248726833443E-2</c:v>
                </c:pt>
                <c:pt idx="6">
                  <c:v>0.11344486486045928</c:v>
                </c:pt>
                <c:pt idx="7">
                  <c:v>0.26947227273372137</c:v>
                </c:pt>
                <c:pt idx="8">
                  <c:v>0.55037782068421104</c:v>
                </c:pt>
                <c:pt idx="9">
                  <c:v>1.0016084183818144</c:v>
                </c:pt>
                <c:pt idx="10">
                  <c:v>1.6655941757818058</c:v>
                </c:pt>
                <c:pt idx="11">
                  <c:v>2.5778230281038175</c:v>
                </c:pt>
                <c:pt idx="12">
                  <c:v>3.7645532249571372</c:v>
                </c:pt>
                <c:pt idx="13">
                  <c:v>5.2420662814259069</c:v>
                </c:pt>
                <c:pt idx="14">
                  <c:v>7.0171005095269754</c:v>
                </c:pt>
                <c:pt idx="15">
                  <c:v>9.0880400961769094</c:v>
                </c:pt>
                <c:pt idx="16">
                  <c:v>11.44648231129973</c:v>
                </c:pt>
                <c:pt idx="17">
                  <c:v>14.07889850348057</c:v>
                </c:pt>
                <c:pt idx="18">
                  <c:v>16.968201955742423</c:v>
                </c:pt>
                <c:pt idx="19">
                  <c:v>20.095117706902176</c:v>
                </c:pt>
                <c:pt idx="20">
                  <c:v>23.4393099940675</c:v>
                </c:pt>
                <c:pt idx="21">
                  <c:v>26.980263095255818</c:v>
                </c:pt>
                <c:pt idx="22">
                  <c:v>30.697935022274134</c:v>
                </c:pt>
                <c:pt idx="23">
                  <c:v>34.57321527152164</c:v>
                </c:pt>
                <c:pt idx="24">
                  <c:v>38.588221693957607</c:v>
                </c:pt>
                <c:pt idx="25">
                  <c:v>42.726470609988972</c:v>
                </c:pt>
                <c:pt idx="26">
                  <c:v>46.97295078898734</c:v>
                </c:pt>
                <c:pt idx="27">
                  <c:v>51.31412730638344</c:v>
                </c:pt>
                <c:pt idx="28">
                  <c:v>55.737896488731245</c:v>
                </c:pt>
                <c:pt idx="29">
                  <c:v>60.233508666914545</c:v>
                </c:pt>
                <c:pt idx="30">
                  <c:v>64.791471525624786</c:v>
                </c:pt>
                <c:pt idx="31">
                  <c:v>69.403443546037224</c:v>
                </c:pt>
                <c:pt idx="32">
                  <c:v>74.062124376582176</c:v>
                </c:pt>
                <c:pt idx="33">
                  <c:v>78.761146873216276</c:v>
                </c:pt>
                <c:pt idx="34">
                  <c:v>83.494973944500799</c:v>
                </c:pt>
                <c:pt idx="35">
                  <c:v>88.258802133204497</c:v>
                </c:pt>
                <c:pt idx="36">
                  <c:v>93.04847298555616</c:v>
                </c:pt>
                <c:pt idx="37">
                  <c:v>97.860392631824752</c:v>
                </c:pt>
                <c:pt idx="38">
                  <c:v>102.69145956879441</c:v>
                </c:pt>
                <c:pt idx="39">
                  <c:v>107.53900034793016</c:v>
                </c:pt>
                <c:pt idx="40">
                  <c:v>112.40071269436103</c:v>
                </c:pt>
                <c:pt idx="41">
                  <c:v>117.27461548138676</c:v>
                </c:pt>
                <c:pt idx="42">
                  <c:v>122.15900494012801</c:v>
                </c:pt>
                <c:pt idx="43">
                  <c:v>127.05241647689658</c:v>
                </c:pt>
                <c:pt idx="44">
                  <c:v>131.95359148900414</c:v>
                </c:pt>
                <c:pt idx="45">
                  <c:v>136.86144860365951</c:v>
                </c:pt>
                <c:pt idx="46">
                  <c:v>141.77505880757451</c:v>
                </c:pt>
                <c:pt idx="47">
                  <c:v>146.69362398216447</c:v>
                </c:pt>
                <c:pt idx="48">
                  <c:v>151.61645840753752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333568"/>
        <c:axId val="73751872"/>
      </c:lineChart>
      <c:catAx>
        <c:axId val="32433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3751872"/>
        <c:crosses val="autoZero"/>
        <c:auto val="1"/>
        <c:lblAlgn val="ctr"/>
        <c:lblOffset val="100"/>
        <c:noMultiLvlLbl val="0"/>
      </c:catAx>
      <c:valAx>
        <c:axId val="73751872"/>
        <c:scaling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2433356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Call option price vs. volatility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'Exercise 3 - ans'!$H$13</c:f>
              <c:strCache>
                <c:ptCount val="1"/>
                <c:pt idx="0">
                  <c:v>Call Option Price</c:v>
                </c:pt>
              </c:strCache>
            </c:strRef>
          </c:tx>
          <c:marker>
            <c:symbol val="none"/>
          </c:marker>
          <c:cat>
            <c:numRef>
              <c:f>'Exercise 3 - ans'!$G$14:$G$48</c:f>
              <c:numCache>
                <c:formatCode>0.00%</c:formatCode>
                <c:ptCount val="35"/>
                <c:pt idx="0">
                  <c:v>2.5000000000000001E-2</c:v>
                </c:pt>
                <c:pt idx="1">
                  <c:v>0.05</c:v>
                </c:pt>
                <c:pt idx="2">
                  <c:v>7.4999999999999997E-2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0.17499999999999999</c:v>
                </c:pt>
                <c:pt idx="7">
                  <c:v>0.2</c:v>
                </c:pt>
                <c:pt idx="8">
                  <c:v>0.22500000000000001</c:v>
                </c:pt>
                <c:pt idx="9">
                  <c:v>0.25</c:v>
                </c:pt>
                <c:pt idx="10">
                  <c:v>0.27500000000000002</c:v>
                </c:pt>
                <c:pt idx="11">
                  <c:v>0.3</c:v>
                </c:pt>
                <c:pt idx="12">
                  <c:v>0.32500000000000001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0.42499999999999999</c:v>
                </c:pt>
                <c:pt idx="17">
                  <c:v>0.45</c:v>
                </c:pt>
                <c:pt idx="18">
                  <c:v>0.47499999999999998</c:v>
                </c:pt>
                <c:pt idx="19">
                  <c:v>0.5</c:v>
                </c:pt>
                <c:pt idx="20">
                  <c:v>0.52500000000000002</c:v>
                </c:pt>
                <c:pt idx="21">
                  <c:v>0.55000000000000004</c:v>
                </c:pt>
                <c:pt idx="22">
                  <c:v>0.57499999999999996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0.67500000000000004</c:v>
                </c:pt>
                <c:pt idx="27">
                  <c:v>0.7</c:v>
                </c:pt>
                <c:pt idx="28">
                  <c:v>0.72499999999999998</c:v>
                </c:pt>
                <c:pt idx="29">
                  <c:v>0.75</c:v>
                </c:pt>
                <c:pt idx="30">
                  <c:v>0.77500000000000002</c:v>
                </c:pt>
                <c:pt idx="31">
                  <c:v>0.8</c:v>
                </c:pt>
                <c:pt idx="32">
                  <c:v>0.82499999999999996</c:v>
                </c:pt>
                <c:pt idx="33">
                  <c:v>0.85</c:v>
                </c:pt>
                <c:pt idx="34">
                  <c:v>0.875</c:v>
                </c:pt>
              </c:numCache>
            </c:numRef>
          </c:cat>
          <c:val>
            <c:numRef>
              <c:f>'Exercise 3 - ans'!$H$14:$H$48</c:f>
              <c:numCache>
                <c:formatCode>0.0000_ </c:formatCode>
                <c:ptCount val="35"/>
                <c:pt idx="0">
                  <c:v>1.5314127250698439</c:v>
                </c:pt>
                <c:pt idx="1">
                  <c:v>1.8742209940482257</c:v>
                </c:pt>
                <c:pt idx="2">
                  <c:v>2.3055455219439605</c:v>
                </c:pt>
                <c:pt idx="3">
                  <c:v>2.7631682726475875</c:v>
                </c:pt>
                <c:pt idx="4">
                  <c:v>3.2315959105571825</c:v>
                </c:pt>
                <c:pt idx="5">
                  <c:v>3.7053048639755759</c:v>
                </c:pt>
                <c:pt idx="6">
                  <c:v>4.1818254434398447</c:v>
                </c:pt>
                <c:pt idx="7">
                  <c:v>4.6598692275987679</c:v>
                </c:pt>
                <c:pt idx="8">
                  <c:v>5.1386818328057533</c:v>
                </c:pt>
                <c:pt idx="9">
                  <c:v>5.6177787970198185</c:v>
                </c:pt>
                <c:pt idx="10">
                  <c:v>6.0968240455431593</c:v>
                </c:pt>
                <c:pt idx="11">
                  <c:v>6.5755686354804643</c:v>
                </c:pt>
                <c:pt idx="12">
                  <c:v>7.0538175948178461</c:v>
                </c:pt>
                <c:pt idx="13">
                  <c:v>7.5314109066071362</c:v>
                </c:pt>
                <c:pt idx="14">
                  <c:v>8.0082120758090429</c:v>
                </c:pt>
                <c:pt idx="15">
                  <c:v>8.4841009778712113</c:v>
                </c:pt>
                <c:pt idx="16">
                  <c:v>8.9589692334669184</c:v>
                </c:pt>
                <c:pt idx="17">
                  <c:v>9.4327171305624447</c:v>
                </c:pt>
                <c:pt idx="18">
                  <c:v>9.9052515254853919</c:v>
                </c:pt>
                <c:pt idx="19">
                  <c:v>10.37648438119365</c:v>
                </c:pt>
                <c:pt idx="20">
                  <c:v>10.84633173073968</c:v>
                </c:pt>
                <c:pt idx="21">
                  <c:v>11.314712930793551</c:v>
                </c:pt>
                <c:pt idx="22">
                  <c:v>11.781550116965716</c:v>
                </c:pt>
                <c:pt idx="23">
                  <c:v>12.246767802015869</c:v>
                </c:pt>
                <c:pt idx="24">
                  <c:v>12.710292576840393</c:v>
                </c:pt>
                <c:pt idx="25">
                  <c:v>13.172052886442328</c:v>
                </c:pt>
                <c:pt idx="26">
                  <c:v>13.631978861303423</c:v>
                </c:pt>
                <c:pt idx="27">
                  <c:v>14.09000219015817</c:v>
                </c:pt>
                <c:pt idx="28">
                  <c:v>14.546056024021359</c:v>
                </c:pt>
                <c:pt idx="29">
                  <c:v>15.000074904018657</c:v>
                </c:pt>
                <c:pt idx="30">
                  <c:v>15.451994707486275</c:v>
                </c:pt>
                <c:pt idx="31">
                  <c:v>15.901752608183678</c:v>
                </c:pt>
                <c:pt idx="32">
                  <c:v>16.349287047466547</c:v>
                </c:pt>
                <c:pt idx="33">
                  <c:v>16.794537714005259</c:v>
                </c:pt>
                <c:pt idx="34">
                  <c:v>17.237445530182647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335104"/>
        <c:axId val="159058176"/>
      </c:lineChart>
      <c:catAx>
        <c:axId val="32433510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9058176"/>
        <c:crosses val="autoZero"/>
        <c:auto val="1"/>
        <c:lblAlgn val="ctr"/>
        <c:lblOffset val="100"/>
        <c:noMultiLvlLbl val="0"/>
      </c:catAx>
      <c:valAx>
        <c:axId val="1590581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2433510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EuroCallPrice</c:v>
          </c:tx>
          <c:marker>
            <c:symbol val="none"/>
          </c:marker>
          <c:cat>
            <c:numRef>
              <c:f>BStable!$A$29:$A$68</c:f>
              <c:numCache>
                <c:formatCode>General</c:formatCode>
                <c:ptCount val="40"/>
                <c:pt idx="0">
                  <c:v>81</c:v>
                </c:pt>
                <c:pt idx="1">
                  <c:v>82</c:v>
                </c:pt>
                <c:pt idx="2">
                  <c:v>83</c:v>
                </c:pt>
                <c:pt idx="3">
                  <c:v>84</c:v>
                </c:pt>
                <c:pt idx="4">
                  <c:v>85</c:v>
                </c:pt>
                <c:pt idx="5">
                  <c:v>86</c:v>
                </c:pt>
                <c:pt idx="6">
                  <c:v>87</c:v>
                </c:pt>
                <c:pt idx="7">
                  <c:v>88</c:v>
                </c:pt>
                <c:pt idx="8">
                  <c:v>89</c:v>
                </c:pt>
                <c:pt idx="9">
                  <c:v>90</c:v>
                </c:pt>
                <c:pt idx="10">
                  <c:v>91</c:v>
                </c:pt>
                <c:pt idx="11">
                  <c:v>92</c:v>
                </c:pt>
                <c:pt idx="12">
                  <c:v>93</c:v>
                </c:pt>
                <c:pt idx="13">
                  <c:v>94</c:v>
                </c:pt>
                <c:pt idx="14">
                  <c:v>95</c:v>
                </c:pt>
                <c:pt idx="15">
                  <c:v>96</c:v>
                </c:pt>
                <c:pt idx="16">
                  <c:v>97</c:v>
                </c:pt>
                <c:pt idx="17">
                  <c:v>98</c:v>
                </c:pt>
                <c:pt idx="18">
                  <c:v>99</c:v>
                </c:pt>
                <c:pt idx="19">
                  <c:v>100</c:v>
                </c:pt>
                <c:pt idx="20">
                  <c:v>101</c:v>
                </c:pt>
                <c:pt idx="21">
                  <c:v>102</c:v>
                </c:pt>
                <c:pt idx="22">
                  <c:v>103</c:v>
                </c:pt>
                <c:pt idx="23">
                  <c:v>104</c:v>
                </c:pt>
                <c:pt idx="24">
                  <c:v>105</c:v>
                </c:pt>
                <c:pt idx="25">
                  <c:v>106</c:v>
                </c:pt>
                <c:pt idx="26">
                  <c:v>107</c:v>
                </c:pt>
                <c:pt idx="27">
                  <c:v>108</c:v>
                </c:pt>
                <c:pt idx="28">
                  <c:v>109</c:v>
                </c:pt>
                <c:pt idx="29">
                  <c:v>110</c:v>
                </c:pt>
                <c:pt idx="30">
                  <c:v>111</c:v>
                </c:pt>
                <c:pt idx="31">
                  <c:v>112</c:v>
                </c:pt>
                <c:pt idx="32">
                  <c:v>113</c:v>
                </c:pt>
                <c:pt idx="33">
                  <c:v>114</c:v>
                </c:pt>
                <c:pt idx="34">
                  <c:v>115</c:v>
                </c:pt>
                <c:pt idx="35">
                  <c:v>116</c:v>
                </c:pt>
                <c:pt idx="36">
                  <c:v>117</c:v>
                </c:pt>
                <c:pt idx="37">
                  <c:v>118</c:v>
                </c:pt>
                <c:pt idx="38">
                  <c:v>119</c:v>
                </c:pt>
                <c:pt idx="39">
                  <c:v>120</c:v>
                </c:pt>
              </c:numCache>
            </c:numRef>
          </c:cat>
          <c:val>
            <c:numRef>
              <c:f>BStable!$B$29:$B$68</c:f>
              <c:numCache>
                <c:formatCode>0.0000</c:formatCode>
                <c:ptCount val="40"/>
                <c:pt idx="0">
                  <c:v>2.0715111623161073</c:v>
                </c:pt>
                <c:pt idx="1">
                  <c:v>2.2804936374147933</c:v>
                </c:pt>
                <c:pt idx="2">
                  <c:v>2.5034594253104587</c:v>
                </c:pt>
                <c:pt idx="3">
                  <c:v>2.740733968019923</c:v>
                </c:pt>
                <c:pt idx="4">
                  <c:v>2.9926125075124865</c:v>
                </c:pt>
                <c:pt idx="5">
                  <c:v>3.2593592351436311</c:v>
                </c:pt>
                <c:pt idx="6">
                  <c:v>3.5412066773473763</c:v>
                </c:pt>
                <c:pt idx="7">
                  <c:v>3.838355310956941</c:v>
                </c:pt>
                <c:pt idx="8">
                  <c:v>4.150973399382619</c:v>
                </c:pt>
                <c:pt idx="9">
                  <c:v>4.4791970390383069</c:v>
                </c:pt>
                <c:pt idx="10">
                  <c:v>4.8231304038733889</c:v>
                </c:pt>
                <c:pt idx="11">
                  <c:v>5.1828461746256655</c:v>
                </c:pt>
                <c:pt idx="12">
                  <c:v>5.5583861384552975</c:v>
                </c:pt>
                <c:pt idx="13">
                  <c:v>5.94976194393052</c:v>
                </c:pt>
                <c:pt idx="14">
                  <c:v>6.3569559958987902</c:v>
                </c:pt>
                <c:pt idx="15">
                  <c:v>6.7799224745686208</c:v>
                </c:pt>
                <c:pt idx="16">
                  <c:v>7.2185884631286967</c:v>
                </c:pt>
                <c:pt idx="17">
                  <c:v>7.6728551684175894</c:v>
                </c:pt>
                <c:pt idx="18">
                  <c:v>8.1425992195079324</c:v>
                </c:pt>
                <c:pt idx="19">
                  <c:v>8.6276740295600174</c:v>
                </c:pt>
                <c:pt idx="20">
                  <c:v>9.127911206909797</c:v>
                </c:pt>
                <c:pt idx="21">
                  <c:v>9.6431220020640911</c:v>
                </c:pt>
                <c:pt idx="22">
                  <c:v>10.173098778060476</c:v>
                </c:pt>
                <c:pt idx="23">
                  <c:v>10.717616492494248</c:v>
                </c:pt>
                <c:pt idx="24">
                  <c:v>11.27643418039974</c:v>
                </c:pt>
                <c:pt idx="25">
                  <c:v>11.849296428085603</c:v>
                </c:pt>
                <c:pt idx="26">
                  <c:v>12.435934828946623</c:v>
                </c:pt>
                <c:pt idx="27">
                  <c:v>13.036069413197803</c:v>
                </c:pt>
                <c:pt idx="28">
                  <c:v>13.64941004438718</c:v>
                </c:pt>
                <c:pt idx="29">
                  <c:v>14.275657776434203</c:v>
                </c:pt>
                <c:pt idx="30">
                  <c:v>14.914506165801374</c:v>
                </c:pt>
                <c:pt idx="31">
                  <c:v>15.565642534232767</c:v>
                </c:pt>
                <c:pt idx="32">
                  <c:v>16.228749178277376</c:v>
                </c:pt>
                <c:pt idx="33">
                  <c:v>16.90350452255613</c:v>
                </c:pt>
                <c:pt idx="34">
                  <c:v>17.589584214422604</c:v>
                </c:pt>
                <c:pt idx="35">
                  <c:v>18.286662158311263</c:v>
                </c:pt>
                <c:pt idx="36">
                  <c:v>18.99441148865764</c:v>
                </c:pt>
                <c:pt idx="37">
                  <c:v>19.712505480816045</c:v>
                </c:pt>
                <c:pt idx="38">
                  <c:v>20.440618399889672</c:v>
                </c:pt>
                <c:pt idx="39">
                  <c:v>21.17842628782768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592000"/>
        <c:axId val="159059904"/>
      </c:lineChart>
      <c:catAx>
        <c:axId val="33459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9059904"/>
        <c:crosses val="autoZero"/>
        <c:auto val="1"/>
        <c:lblAlgn val="ctr"/>
        <c:lblOffset val="100"/>
        <c:noMultiLvlLbl val="0"/>
      </c:catAx>
      <c:valAx>
        <c:axId val="159059904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3459200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EuroCallDelta</c:v>
          </c:tx>
          <c:marker>
            <c:symbol val="none"/>
          </c:marker>
          <c:cat>
            <c:numRef>
              <c:f>BStable!$A$29:$A$68</c:f>
              <c:numCache>
                <c:formatCode>General</c:formatCode>
                <c:ptCount val="40"/>
                <c:pt idx="0">
                  <c:v>81</c:v>
                </c:pt>
                <c:pt idx="1">
                  <c:v>82</c:v>
                </c:pt>
                <c:pt idx="2">
                  <c:v>83</c:v>
                </c:pt>
                <c:pt idx="3">
                  <c:v>84</c:v>
                </c:pt>
                <c:pt idx="4">
                  <c:v>85</c:v>
                </c:pt>
                <c:pt idx="5">
                  <c:v>86</c:v>
                </c:pt>
                <c:pt idx="6">
                  <c:v>87</c:v>
                </c:pt>
                <c:pt idx="7">
                  <c:v>88</c:v>
                </c:pt>
                <c:pt idx="8">
                  <c:v>89</c:v>
                </c:pt>
                <c:pt idx="9">
                  <c:v>90</c:v>
                </c:pt>
                <c:pt idx="10">
                  <c:v>91</c:v>
                </c:pt>
                <c:pt idx="11">
                  <c:v>92</c:v>
                </c:pt>
                <c:pt idx="12">
                  <c:v>93</c:v>
                </c:pt>
                <c:pt idx="13">
                  <c:v>94</c:v>
                </c:pt>
                <c:pt idx="14">
                  <c:v>95</c:v>
                </c:pt>
                <c:pt idx="15">
                  <c:v>96</c:v>
                </c:pt>
                <c:pt idx="16">
                  <c:v>97</c:v>
                </c:pt>
                <c:pt idx="17">
                  <c:v>98</c:v>
                </c:pt>
                <c:pt idx="18">
                  <c:v>99</c:v>
                </c:pt>
                <c:pt idx="19">
                  <c:v>100</c:v>
                </c:pt>
                <c:pt idx="20">
                  <c:v>101</c:v>
                </c:pt>
                <c:pt idx="21">
                  <c:v>102</c:v>
                </c:pt>
                <c:pt idx="22">
                  <c:v>103</c:v>
                </c:pt>
                <c:pt idx="23">
                  <c:v>104</c:v>
                </c:pt>
                <c:pt idx="24">
                  <c:v>105</c:v>
                </c:pt>
                <c:pt idx="25">
                  <c:v>106</c:v>
                </c:pt>
                <c:pt idx="26">
                  <c:v>107</c:v>
                </c:pt>
                <c:pt idx="27">
                  <c:v>108</c:v>
                </c:pt>
                <c:pt idx="28">
                  <c:v>109</c:v>
                </c:pt>
                <c:pt idx="29">
                  <c:v>110</c:v>
                </c:pt>
                <c:pt idx="30">
                  <c:v>111</c:v>
                </c:pt>
                <c:pt idx="31">
                  <c:v>112</c:v>
                </c:pt>
                <c:pt idx="32">
                  <c:v>113</c:v>
                </c:pt>
                <c:pt idx="33">
                  <c:v>114</c:v>
                </c:pt>
                <c:pt idx="34">
                  <c:v>115</c:v>
                </c:pt>
                <c:pt idx="35">
                  <c:v>116</c:v>
                </c:pt>
                <c:pt idx="36">
                  <c:v>117</c:v>
                </c:pt>
                <c:pt idx="37">
                  <c:v>118</c:v>
                </c:pt>
                <c:pt idx="38">
                  <c:v>119</c:v>
                </c:pt>
                <c:pt idx="39">
                  <c:v>120</c:v>
                </c:pt>
              </c:numCache>
            </c:numRef>
          </c:cat>
          <c:val>
            <c:numRef>
              <c:f>BStable!$C$29:$C$68</c:f>
              <c:numCache>
                <c:formatCode>0.0000</c:formatCode>
                <c:ptCount val="40"/>
                <c:pt idx="0">
                  <c:v>0.20210663924832648</c:v>
                </c:pt>
                <c:pt idx="1">
                  <c:v>0.21591742500948957</c:v>
                </c:pt>
                <c:pt idx="2">
                  <c:v>0.23006840929799521</c:v>
                </c:pt>
                <c:pt idx="3">
                  <c:v>0.24452989728182725</c:v>
                </c:pt>
                <c:pt idx="4">
                  <c:v>0.25927122381843209</c:v>
                </c:pt>
                <c:pt idx="5">
                  <c:v>0.27426099223984551</c:v>
                </c:pt>
                <c:pt idx="6">
                  <c:v>0.28946730767817203</c:v>
                </c:pt>
                <c:pt idx="7">
                  <c:v>0.30485800263986956</c:v>
                </c:pt>
                <c:pt idx="8">
                  <c:v>0.32040085283960812</c:v>
                </c:pt>
                <c:pt idx="9">
                  <c:v>0.33606378160820527</c:v>
                </c:pt>
                <c:pt idx="10">
                  <c:v>0.35181505148847231</c:v>
                </c:pt>
                <c:pt idx="11">
                  <c:v>0.36762344192277174</c:v>
                </c:pt>
                <c:pt idx="12">
                  <c:v>0.38345841221260468</c:v>
                </c:pt>
                <c:pt idx="13">
                  <c:v>0.3992902491903314</c:v>
                </c:pt>
                <c:pt idx="14">
                  <c:v>0.41509019928370638</c:v>
                </c:pt>
                <c:pt idx="15">
                  <c:v>0.43083058487347903</c:v>
                </c:pt>
                <c:pt idx="16">
                  <c:v>0.44648490504177857</c:v>
                </c:pt>
                <c:pt idx="17">
                  <c:v>0.46202792098376394</c:v>
                </c:pt>
                <c:pt idx="18">
                  <c:v>0.47743572650707233</c:v>
                </c:pt>
                <c:pt idx="19">
                  <c:v>0.4926858041732724</c:v>
                </c:pt>
                <c:pt idx="20">
                  <c:v>0.50775706774356788</c:v>
                </c:pt>
                <c:pt idx="21">
                  <c:v>0.52262989167840623</c:v>
                </c:pt>
                <c:pt idx="22">
                  <c:v>0.5372861285086511</c:v>
                </c:pt>
                <c:pt idx="23">
                  <c:v>0.55170911494598818</c:v>
                </c:pt>
                <c:pt idx="24">
                  <c:v>0.56588366763374154</c:v>
                </c:pt>
                <c:pt idx="25">
                  <c:v>0.57979606945787621</c:v>
                </c:pt>
                <c:pt idx="26">
                  <c:v>0.5934340473432399</c:v>
                </c:pt>
                <c:pt idx="27">
                  <c:v>0.60678674245366382</c:v>
                </c:pt>
                <c:pt idx="28">
                  <c:v>0.61984467369795127</c:v>
                </c:pt>
                <c:pt idx="29">
                  <c:v>0.63259969541854433</c:v>
                </c:pt>
                <c:pt idx="30">
                  <c:v>0.64504495010720375</c:v>
                </c:pt>
                <c:pt idx="31">
                  <c:v>0.65717481695370961</c:v>
                </c:pt>
                <c:pt idx="32">
                  <c:v>0.66898485699062171</c:v>
                </c:pt>
                <c:pt idx="33">
                  <c:v>0.68047175555069883</c:v>
                </c:pt>
                <c:pt idx="34">
                  <c:v>0.69163326270464853</c:v>
                </c:pt>
                <c:pt idx="35">
                  <c:v>0.70246813229645755</c:v>
                </c:pt>
                <c:pt idx="36">
                  <c:v>0.71297606014237447</c:v>
                </c:pt>
                <c:pt idx="37">
                  <c:v>0.72315762190846589</c:v>
                </c:pt>
                <c:pt idx="38">
                  <c:v>0.73301421113111831</c:v>
                </c:pt>
                <c:pt idx="39">
                  <c:v>0.74254797779544579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593536"/>
        <c:axId val="159062208"/>
      </c:lineChart>
      <c:catAx>
        <c:axId val="33459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9062208"/>
        <c:crosses val="autoZero"/>
        <c:auto val="1"/>
        <c:lblAlgn val="ctr"/>
        <c:lblOffset val="100"/>
        <c:noMultiLvlLbl val="0"/>
      </c:catAx>
      <c:valAx>
        <c:axId val="159062208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3459353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502405949256401E-2"/>
          <c:y val="5.1400554097404502E-2"/>
          <c:w val="0.85220275590551198"/>
          <c:h val="0.89719889180519097"/>
        </c:manualLayout>
      </c:layout>
      <c:lineChart>
        <c:grouping val="standard"/>
        <c:varyColors val="0"/>
        <c:ser>
          <c:idx val="0"/>
          <c:order val="0"/>
          <c:tx>
            <c:v>Delta call</c:v>
          </c:tx>
          <c:marker>
            <c:symbol val="none"/>
          </c:marker>
          <c:cat>
            <c:numRef>
              <c:f>Greeks!$H$5:$H$25</c:f>
              <c:numCache>
                <c:formatCode>General</c:formatCod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</c:numCache>
            </c:numRef>
          </c:cat>
          <c:val>
            <c:numRef>
              <c:f>Greeks!$I$5:$I$25</c:f>
              <c:numCache>
                <c:formatCode>General</c:formatCode>
                <c:ptCount val="21"/>
                <c:pt idx="0">
                  <c:v>9.5515792491160232E-16</c:v>
                </c:pt>
                <c:pt idx="1">
                  <c:v>1.9353678492739052E-8</c:v>
                </c:pt>
                <c:pt idx="2">
                  <c:v>2.4181624558529925E-5</c:v>
                </c:pt>
                <c:pt idx="3">
                  <c:v>1.1571273212652724E-3</c:v>
                </c:pt>
                <c:pt idx="4">
                  <c:v>1.1969339607477E-2</c:v>
                </c:pt>
                <c:pt idx="5">
                  <c:v>5.3258964712539339E-2</c:v>
                </c:pt>
                <c:pt idx="6">
                  <c:v>0.14236670166149568</c:v>
                </c:pt>
                <c:pt idx="7">
                  <c:v>0.27471944781510033</c:v>
                </c:pt>
                <c:pt idx="8">
                  <c:v>0.42719999084798604</c:v>
                </c:pt>
                <c:pt idx="9">
                  <c:v>0.57421168931505495</c:v>
                </c:pt>
                <c:pt idx="10">
                  <c:v>0.69893502479215108</c:v>
                </c:pt>
                <c:pt idx="11">
                  <c:v>0.79529529933710519</c:v>
                </c:pt>
                <c:pt idx="12">
                  <c:v>0.86474530561657537</c:v>
                </c:pt>
                <c:pt idx="13">
                  <c:v>0.91225776242191403</c:v>
                </c:pt>
                <c:pt idx="14">
                  <c:v>0.94350714788452261</c:v>
                </c:pt>
                <c:pt idx="15">
                  <c:v>0.96345585895495112</c:v>
                </c:pt>
                <c:pt idx="16">
                  <c:v>0.97590587775885551</c:v>
                </c:pt>
                <c:pt idx="17">
                  <c:v>0.98354463467770559</c:v>
                </c:pt>
                <c:pt idx="18">
                  <c:v>0.9881721780446121</c:v>
                </c:pt>
                <c:pt idx="19">
                  <c:v>0.99094950269695425</c:v>
                </c:pt>
                <c:pt idx="20">
                  <c:v>0.99260533528098571</c:v>
                </c:pt>
              </c:numCache>
            </c:numRef>
          </c:val>
          <c:smooth val="0"/>
        </c:ser>
        <c:ser>
          <c:idx val="1"/>
          <c:order val="1"/>
          <c:tx>
            <c:v>Delta put</c:v>
          </c:tx>
          <c:marker>
            <c:symbol val="none"/>
          </c:marker>
          <c:cat>
            <c:numRef>
              <c:f>Greeks!$H$5:$H$25</c:f>
              <c:numCache>
                <c:formatCode>General</c:formatCod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</c:numCache>
            </c:numRef>
          </c:cat>
          <c:val>
            <c:numRef>
              <c:f>Greeks!$J$5:$J$25</c:f>
              <c:numCache>
                <c:formatCode>General</c:formatCode>
                <c:ptCount val="21"/>
                <c:pt idx="0">
                  <c:v>-0.99501247919268132</c:v>
                </c:pt>
                <c:pt idx="1">
                  <c:v>-0.99501245983900388</c:v>
                </c:pt>
                <c:pt idx="2">
                  <c:v>-0.99498829756812379</c:v>
                </c:pt>
                <c:pt idx="3">
                  <c:v>-0.99385535187141705</c:v>
                </c:pt>
                <c:pt idx="4">
                  <c:v>-0.98304313958520539</c:v>
                </c:pt>
                <c:pt idx="5">
                  <c:v>-0.94175351448014299</c:v>
                </c:pt>
                <c:pt idx="6">
                  <c:v>-0.85264577753118664</c:v>
                </c:pt>
                <c:pt idx="7">
                  <c:v>-0.72029303137758194</c:v>
                </c:pt>
                <c:pt idx="8">
                  <c:v>-0.56781248834469633</c:v>
                </c:pt>
                <c:pt idx="9">
                  <c:v>-0.42080078987762742</c:v>
                </c:pt>
                <c:pt idx="10">
                  <c:v>-0.29607745440053124</c:v>
                </c:pt>
                <c:pt idx="11">
                  <c:v>-0.19971717985557716</c:v>
                </c:pt>
                <c:pt idx="12">
                  <c:v>-0.1302671735761069</c:v>
                </c:pt>
                <c:pt idx="13">
                  <c:v>-8.2754716770768288E-2</c:v>
                </c:pt>
                <c:pt idx="14">
                  <c:v>-5.1505331308159673E-2</c:v>
                </c:pt>
                <c:pt idx="15">
                  <c:v>-3.1556620237731148E-2</c:v>
                </c:pt>
                <c:pt idx="16">
                  <c:v>-1.9106601433826802E-2</c:v>
                </c:pt>
                <c:pt idx="17">
                  <c:v>-1.1467844514976679E-2</c:v>
                </c:pt>
                <c:pt idx="18">
                  <c:v>-6.840301148070267E-3</c:v>
                </c:pt>
                <c:pt idx="19">
                  <c:v>-4.0629764957280639E-3</c:v>
                </c:pt>
                <c:pt idx="20">
                  <c:v>-2.4071439116966362E-3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589952"/>
        <c:axId val="240318656"/>
      </c:lineChart>
      <c:catAx>
        <c:axId val="334589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0318656"/>
        <c:crosses val="autoZero"/>
        <c:auto val="1"/>
        <c:lblAlgn val="ctr"/>
        <c:lblOffset val="100"/>
        <c:noMultiLvlLbl val="0"/>
      </c:catAx>
      <c:valAx>
        <c:axId val="240318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34589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6109296740364101"/>
          <c:y val="0.12281121694628"/>
          <c:w val="0.18619836492109099"/>
          <c:h val="0.16842681181204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169072615923"/>
          <c:y val="5.1400554097404502E-2"/>
          <c:w val="0.826837489063867"/>
          <c:h val="0.83261956838728501"/>
        </c:manualLayout>
      </c:layout>
      <c:lineChart>
        <c:grouping val="standard"/>
        <c:varyColors val="0"/>
        <c:ser>
          <c:idx val="0"/>
          <c:order val="0"/>
          <c:tx>
            <c:v>Gamma</c:v>
          </c:tx>
          <c:marker>
            <c:symbol val="none"/>
          </c:marker>
          <c:cat>
            <c:numRef>
              <c:f>Greeks!$H$5:$H$25</c:f>
              <c:numCache>
                <c:formatCode>General</c:formatCod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</c:numCache>
            </c:numRef>
          </c:cat>
          <c:val>
            <c:numRef>
              <c:f>Greeks!$K$5:$K$25</c:f>
              <c:numCache>
                <c:formatCode>General</c:formatCode>
                <c:ptCount val="21"/>
                <c:pt idx="0">
                  <c:v>5.4494903054694039E-15</c:v>
                </c:pt>
                <c:pt idx="1">
                  <c:v>3.8778806971402077E-8</c:v>
                </c:pt>
                <c:pt idx="2">
                  <c:v>2.4422882227639238E-5</c:v>
                </c:pt>
                <c:pt idx="3">
                  <c:v>6.8015335396620549E-4</c:v>
                </c:pt>
                <c:pt idx="4">
                  <c:v>4.4044101365281621E-3</c:v>
                </c:pt>
                <c:pt idx="5">
                  <c:v>1.2767175214500218E-2</c:v>
                </c:pt>
                <c:pt idx="6">
                  <c:v>2.2703848162325724E-2</c:v>
                </c:pt>
                <c:pt idx="7">
                  <c:v>2.9403097538999459E-2</c:v>
                </c:pt>
                <c:pt idx="8">
                  <c:v>3.0697077160213131E-2</c:v>
                </c:pt>
                <c:pt idx="9">
                  <c:v>2.7543093444572255E-2</c:v>
                </c:pt>
                <c:pt idx="10">
                  <c:v>2.2156716848442472E-2</c:v>
                </c:pt>
                <c:pt idx="11">
                  <c:v>1.6450025008192322E-2</c:v>
                </c:pt>
                <c:pt idx="12">
                  <c:v>1.1505133427623087E-2</c:v>
                </c:pt>
                <c:pt idx="13">
                  <c:v>7.6934562170649879E-3</c:v>
                </c:pt>
                <c:pt idx="14">
                  <c:v>4.9729699184439882E-3</c:v>
                </c:pt>
                <c:pt idx="15">
                  <c:v>3.1329478493938943E-3</c:v>
                </c:pt>
                <c:pt idx="16">
                  <c:v>1.9358122554822637E-3</c:v>
                </c:pt>
                <c:pt idx="17">
                  <c:v>1.1788383966403744E-3</c:v>
                </c:pt>
                <c:pt idx="18">
                  <c:v>7.1018541839033475E-4</c:v>
                </c:pt>
                <c:pt idx="19">
                  <c:v>4.2453306200563722E-4</c:v>
                </c:pt>
                <c:pt idx="20">
                  <c:v>2.524072678836892E-4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699008"/>
        <c:axId val="334810496"/>
      </c:lineChart>
      <c:catAx>
        <c:axId val="33469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34810496"/>
        <c:crosses val="autoZero"/>
        <c:auto val="1"/>
        <c:lblAlgn val="ctr"/>
        <c:lblOffset val="100"/>
        <c:noMultiLvlLbl val="0"/>
      </c:catAx>
      <c:valAx>
        <c:axId val="33481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34699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6068721122306098"/>
          <c:y val="6.3160054429515597E-2"/>
          <c:w val="0.17364566616236601"/>
          <c:h val="8.4213405906020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33573928258999"/>
          <c:y val="5.1400554097404502E-2"/>
          <c:w val="0.82259448818897696"/>
          <c:h val="0.80701771653543297"/>
        </c:manualLayout>
      </c:layout>
      <c:lineChart>
        <c:grouping val="standard"/>
        <c:varyColors val="0"/>
        <c:ser>
          <c:idx val="0"/>
          <c:order val="0"/>
          <c:tx>
            <c:v>Vega</c:v>
          </c:tx>
          <c:marker>
            <c:symbol val="none"/>
          </c:marker>
          <c:cat>
            <c:numRef>
              <c:f>Greeks!$T$6:$T$21</c:f>
              <c:numCache>
                <c:formatCode>0.00</c:formatCode>
                <c:ptCount val="1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</c:numCache>
            </c:numRef>
          </c:cat>
          <c:val>
            <c:numRef>
              <c:f>Greeks!$U$6:$U$21</c:f>
              <c:numCache>
                <c:formatCode>0.0000</c:formatCode>
                <c:ptCount val="16"/>
                <c:pt idx="0">
                  <c:v>12.728640755205181</c:v>
                </c:pt>
                <c:pt idx="1">
                  <c:v>13.611103343183323</c:v>
                </c:pt>
                <c:pt idx="2">
                  <c:v>13.771546722286129</c:v>
                </c:pt>
                <c:pt idx="3">
                  <c:v>13.816808827500083</c:v>
                </c:pt>
                <c:pt idx="4">
                  <c:v>13.825360623401115</c:v>
                </c:pt>
                <c:pt idx="5">
                  <c:v>13.816808827500083</c:v>
                </c:pt>
                <c:pt idx="6">
                  <c:v>13.79792056687714</c:v>
                </c:pt>
                <c:pt idx="7">
                  <c:v>13.771546722286129</c:v>
                </c:pt>
                <c:pt idx="8">
                  <c:v>13.739068927232557</c:v>
                </c:pt>
                <c:pt idx="9">
                  <c:v>13.701233728346311</c:v>
                </c:pt>
                <c:pt idx="10">
                  <c:v>13.658483498366675</c:v>
                </c:pt>
                <c:pt idx="11">
                  <c:v>13.611103343183323</c:v>
                </c:pt>
                <c:pt idx="12">
                  <c:v>13.559292254983138</c:v>
                </c:pt>
                <c:pt idx="13">
                  <c:v>13.50320005235799</c:v>
                </c:pt>
                <c:pt idx="14">
                  <c:v>13.442947672839674</c:v>
                </c:pt>
                <c:pt idx="15">
                  <c:v>13.37863885150651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697984"/>
        <c:axId val="352765056"/>
      </c:lineChart>
      <c:catAx>
        <c:axId val="33469798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2765056"/>
        <c:crosses val="autoZero"/>
        <c:auto val="1"/>
        <c:lblAlgn val="ctr"/>
        <c:lblOffset val="100"/>
        <c:noMultiLvlLbl val="0"/>
      </c:catAx>
      <c:valAx>
        <c:axId val="352765056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34697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181564627375999"/>
          <c:y val="5.2633378691263E-2"/>
          <c:w val="0.13987901672032099"/>
          <c:h val="8.4213405906020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88407699037604E-2"/>
          <c:y val="5.1400554097404502E-2"/>
          <c:w val="0.86095559930008803"/>
          <c:h val="0.89719889180519097"/>
        </c:manualLayout>
      </c:layout>
      <c:lineChart>
        <c:grouping val="standard"/>
        <c:varyColors val="0"/>
        <c:ser>
          <c:idx val="0"/>
          <c:order val="0"/>
          <c:tx>
            <c:v>Rho call</c:v>
          </c:tx>
          <c:marker>
            <c:symbol val="none"/>
          </c:marker>
          <c:cat>
            <c:numRef>
              <c:f>Greeks!$AD$6:$AD$21</c:f>
              <c:numCache>
                <c:formatCode>0.000</c:formatCode>
                <c:ptCount val="16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0.03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4.4999999999999998E-2</c:v>
                </c:pt>
                <c:pt idx="9">
                  <c:v>0.05</c:v>
                </c:pt>
                <c:pt idx="10">
                  <c:v>5.5E-2</c:v>
                </c:pt>
                <c:pt idx="11">
                  <c:v>0.06</c:v>
                </c:pt>
                <c:pt idx="12">
                  <c:v>6.5000000000000002E-2</c:v>
                </c:pt>
                <c:pt idx="13">
                  <c:v>7.0000000000000007E-2</c:v>
                </c:pt>
                <c:pt idx="14">
                  <c:v>7.4999999999999997E-2</c:v>
                </c:pt>
                <c:pt idx="15">
                  <c:v>0.08</c:v>
                </c:pt>
              </c:numCache>
            </c:numRef>
          </c:cat>
          <c:val>
            <c:numRef>
              <c:f>Greeks!$AE$6:$AE$21</c:f>
              <c:numCache>
                <c:formatCode>General</c:formatCode>
                <c:ptCount val="16"/>
                <c:pt idx="0">
                  <c:v>10.979508630384377</c:v>
                </c:pt>
                <c:pt idx="1">
                  <c:v>11.038880928851128</c:v>
                </c:pt>
                <c:pt idx="2">
                  <c:v>11.097996565539605</c:v>
                </c:pt>
                <c:pt idx="3">
                  <c:v>11.156849553759505</c:v>
                </c:pt>
                <c:pt idx="4">
                  <c:v>11.215433948527837</c:v>
                </c:pt>
                <c:pt idx="5">
                  <c:v>11.273743847974149</c:v>
                </c:pt>
                <c:pt idx="6">
                  <c:v>11.331773394731309</c:v>
                </c:pt>
                <c:pt idx="7">
                  <c:v>11.389516777311254</c:v>
                </c:pt>
                <c:pt idx="8">
                  <c:v>11.446968231465286</c:v>
                </c:pt>
                <c:pt idx="9">
                  <c:v>11.504122041528266</c:v>
                </c:pt>
                <c:pt idx="10">
                  <c:v>11.560972541746329</c:v>
                </c:pt>
                <c:pt idx="11">
                  <c:v>11.617514117587517</c:v>
                </c:pt>
                <c:pt idx="12">
                  <c:v>11.673741207034883</c:v>
                </c:pt>
                <c:pt idx="13">
                  <c:v>11.729648301861593</c:v>
                </c:pt>
                <c:pt idx="14">
                  <c:v>11.785229948887512</c:v>
                </c:pt>
                <c:pt idx="15">
                  <c:v>11.840480751216838</c:v>
                </c:pt>
              </c:numCache>
            </c:numRef>
          </c:val>
          <c:smooth val="0"/>
        </c:ser>
        <c:ser>
          <c:idx val="1"/>
          <c:order val="1"/>
          <c:tx>
            <c:v>Rho put</c:v>
          </c:tx>
          <c:marker>
            <c:symbol val="none"/>
          </c:marker>
          <c:cat>
            <c:numRef>
              <c:f>Greeks!$AD$6:$AD$21</c:f>
              <c:numCache>
                <c:formatCode>0.000</c:formatCode>
                <c:ptCount val="16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0.03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4.4999999999999998E-2</c:v>
                </c:pt>
                <c:pt idx="9">
                  <c:v>0.05</c:v>
                </c:pt>
                <c:pt idx="10">
                  <c:v>5.5E-2</c:v>
                </c:pt>
                <c:pt idx="11">
                  <c:v>0.06</c:v>
                </c:pt>
                <c:pt idx="12">
                  <c:v>6.5000000000000002E-2</c:v>
                </c:pt>
                <c:pt idx="13">
                  <c:v>7.0000000000000007E-2</c:v>
                </c:pt>
                <c:pt idx="14">
                  <c:v>7.4999999999999997E-2</c:v>
                </c:pt>
                <c:pt idx="15">
                  <c:v>0.08</c:v>
                </c:pt>
              </c:numCache>
            </c:numRef>
          </c:cat>
          <c:val>
            <c:numRef>
              <c:f>Greeks!$AF$6:$AF$21</c:f>
              <c:numCache>
                <c:formatCode>General</c:formatCode>
                <c:ptCount val="16"/>
                <c:pt idx="0">
                  <c:v>-13.958069429552125</c:v>
                </c:pt>
                <c:pt idx="1">
                  <c:v>-13.836431050965933</c:v>
                </c:pt>
                <c:pt idx="2">
                  <c:v>-13.715204804938855</c:v>
                </c:pt>
                <c:pt idx="3">
                  <c:v>-13.594396289969696</c:v>
                </c:pt>
                <c:pt idx="4">
                  <c:v>-13.4740110638192</c:v>
                </c:pt>
                <c:pt idx="5">
                  <c:v>-13.354054642102415</c:v>
                </c:pt>
                <c:pt idx="6">
                  <c:v>-13.234532496895518</c:v>
                </c:pt>
                <c:pt idx="7">
                  <c:v>-13.115450055357627</c:v>
                </c:pt>
                <c:pt idx="8">
                  <c:v>-12.996812698368123</c:v>
                </c:pt>
                <c:pt idx="9">
                  <c:v>-12.87862575918005</c:v>
                </c:pt>
                <c:pt idx="10">
                  <c:v>-12.760894522090023</c:v>
                </c:pt>
                <c:pt idx="11">
                  <c:v>-12.643624221125187</c:v>
                </c:pt>
                <c:pt idx="12">
                  <c:v>-12.526820038747768</c:v>
                </c:pt>
                <c:pt idx="13">
                  <c:v>-12.410487104577568</c:v>
                </c:pt>
                <c:pt idx="14">
                  <c:v>-12.294630494133035</c:v>
                </c:pt>
                <c:pt idx="15">
                  <c:v>-12.179255227591241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700032"/>
        <c:axId val="352766784"/>
      </c:lineChart>
      <c:catAx>
        <c:axId val="334700032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2766784"/>
        <c:crosses val="autoZero"/>
        <c:auto val="1"/>
        <c:lblAlgn val="ctr"/>
        <c:lblOffset val="100"/>
        <c:noMultiLvlLbl val="0"/>
      </c:catAx>
      <c:valAx>
        <c:axId val="35276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347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87884725200299"/>
          <c:y val="0.154391244161038"/>
          <c:w val="0.17364566616236601"/>
          <c:h val="0.16842681181204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2</xdr:row>
          <xdr:rowOff>200025</xdr:rowOff>
        </xdr:from>
        <xdr:to>
          <xdr:col>10</xdr:col>
          <xdr:colOff>561975</xdr:colOff>
          <xdr:row>11</xdr:row>
          <xdr:rowOff>85725</xdr:rowOff>
        </xdr:to>
        <xdr:sp macro="" textlink="">
          <xdr:nvSpPr>
            <xdr:cNvPr id="132097" name="Object 1" hidden="1">
              <a:extLst>
                <a:ext uri="{63B3BB69-23CF-44E3-9099-C40C66FF867C}">
                  <a14:compatExt spid="_x0000_s13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52</xdr:row>
      <xdr:rowOff>66675</xdr:rowOff>
    </xdr:from>
    <xdr:to>
      <xdr:col>4</xdr:col>
      <xdr:colOff>581025</xdr:colOff>
      <xdr:row>68</xdr:row>
      <xdr:rowOff>171450</xdr:rowOff>
    </xdr:to>
    <xdr:pic>
      <xdr:nvPicPr>
        <xdr:cNvPr id="1166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848975"/>
          <a:ext cx="3857625" cy="34575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72</xdr:row>
      <xdr:rowOff>28575</xdr:rowOff>
    </xdr:from>
    <xdr:to>
      <xdr:col>4</xdr:col>
      <xdr:colOff>381000</xdr:colOff>
      <xdr:row>86</xdr:row>
      <xdr:rowOff>76200</xdr:rowOff>
    </xdr:to>
    <xdr:pic>
      <xdr:nvPicPr>
        <xdr:cNvPr id="1166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5001875"/>
          <a:ext cx="3571875" cy="2981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5</xdr:row>
          <xdr:rowOff>47625</xdr:rowOff>
        </xdr:from>
        <xdr:to>
          <xdr:col>4</xdr:col>
          <xdr:colOff>1209675</xdr:colOff>
          <xdr:row>14</xdr:row>
          <xdr:rowOff>142875</xdr:rowOff>
        </xdr:to>
        <xdr:sp macro="" textlink="">
          <xdr:nvSpPr>
            <xdr:cNvPr id="11265" name="Object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125</xdr:row>
          <xdr:rowOff>104775</xdr:rowOff>
        </xdr:from>
        <xdr:to>
          <xdr:col>11</xdr:col>
          <xdr:colOff>28575</xdr:colOff>
          <xdr:row>134</xdr:row>
          <xdr:rowOff>142875</xdr:rowOff>
        </xdr:to>
        <xdr:sp macro="" textlink="">
          <xdr:nvSpPr>
            <xdr:cNvPr id="11448" name="Object 184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3</xdr:row>
          <xdr:rowOff>180975</xdr:rowOff>
        </xdr:from>
        <xdr:to>
          <xdr:col>11</xdr:col>
          <xdr:colOff>47625</xdr:colOff>
          <xdr:row>14</xdr:row>
          <xdr:rowOff>9525</xdr:rowOff>
        </xdr:to>
        <xdr:sp macro="" textlink="">
          <xdr:nvSpPr>
            <xdr:cNvPr id="138241" name="Object 2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3</xdr:row>
          <xdr:rowOff>123825</xdr:rowOff>
        </xdr:from>
        <xdr:to>
          <xdr:col>11</xdr:col>
          <xdr:colOff>561975</xdr:colOff>
          <xdr:row>14</xdr:row>
          <xdr:rowOff>0</xdr:rowOff>
        </xdr:to>
        <xdr:sp macro="" textlink="">
          <xdr:nvSpPr>
            <xdr:cNvPr id="4098" name="Object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49</xdr:row>
          <xdr:rowOff>66675</xdr:rowOff>
        </xdr:from>
        <xdr:to>
          <xdr:col>10</xdr:col>
          <xdr:colOff>390525</xdr:colOff>
          <xdr:row>59</xdr:row>
          <xdr:rowOff>9525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4</xdr:row>
          <xdr:rowOff>85725</xdr:rowOff>
        </xdr:from>
        <xdr:to>
          <xdr:col>11</xdr:col>
          <xdr:colOff>47625</xdr:colOff>
          <xdr:row>14</xdr:row>
          <xdr:rowOff>66675</xdr:rowOff>
        </xdr:to>
        <xdr:sp macro="" textlink="">
          <xdr:nvSpPr>
            <xdr:cNvPr id="74753" name="Object 3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12</xdr:row>
      <xdr:rowOff>0</xdr:rowOff>
    </xdr:from>
    <xdr:to>
      <xdr:col>7</xdr:col>
      <xdr:colOff>1562100</xdr:colOff>
      <xdr:row>24</xdr:row>
      <xdr:rowOff>171450</xdr:rowOff>
    </xdr:to>
    <xdr:graphicFrame macro="">
      <xdr:nvGraphicFramePr>
        <xdr:cNvPr id="15370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12</xdr:row>
      <xdr:rowOff>9525</xdr:rowOff>
    </xdr:from>
    <xdr:to>
      <xdr:col>5</xdr:col>
      <xdr:colOff>1238250</xdr:colOff>
      <xdr:row>29</xdr:row>
      <xdr:rowOff>152400</xdr:rowOff>
    </xdr:to>
    <xdr:graphicFrame macro="">
      <xdr:nvGraphicFramePr>
        <xdr:cNvPr id="1608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28575</xdr:rowOff>
        </xdr:from>
        <xdr:to>
          <xdr:col>11</xdr:col>
          <xdr:colOff>1000125</xdr:colOff>
          <xdr:row>10</xdr:row>
          <xdr:rowOff>161925</xdr:rowOff>
        </xdr:to>
        <xdr:sp macro="" textlink="">
          <xdr:nvSpPr>
            <xdr:cNvPr id="50177" name="Object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36</xdr:row>
          <xdr:rowOff>28575</xdr:rowOff>
        </xdr:from>
        <xdr:to>
          <xdr:col>11</xdr:col>
          <xdr:colOff>561975</xdr:colOff>
          <xdr:row>43</xdr:row>
          <xdr:rowOff>142875</xdr:rowOff>
        </xdr:to>
        <xdr:sp macro="" textlink="">
          <xdr:nvSpPr>
            <xdr:cNvPr id="50178" name="Object 1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7</xdr:row>
          <xdr:rowOff>104775</xdr:rowOff>
        </xdr:from>
        <xdr:to>
          <xdr:col>11</xdr:col>
          <xdr:colOff>981075</xdr:colOff>
          <xdr:row>15</xdr:row>
          <xdr:rowOff>104775</xdr:rowOff>
        </xdr:to>
        <xdr:sp macro="" textlink="">
          <xdr:nvSpPr>
            <xdr:cNvPr id="58370" name="Object 3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</xdr:row>
          <xdr:rowOff>104775</xdr:rowOff>
        </xdr:from>
        <xdr:to>
          <xdr:col>11</xdr:col>
          <xdr:colOff>1323975</xdr:colOff>
          <xdr:row>20</xdr:row>
          <xdr:rowOff>114300</xdr:rowOff>
        </xdr:to>
        <xdr:sp macro="" textlink="">
          <xdr:nvSpPr>
            <xdr:cNvPr id="58371" name="Object 1" hidden="1">
              <a:extLst>
                <a:ext uri="{63B3BB69-23CF-44E3-9099-C40C66FF867C}">
                  <a14:compatExt spid="_x0000_s58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25</xdr:row>
      <xdr:rowOff>47625</xdr:rowOff>
    </xdr:from>
    <xdr:to>
      <xdr:col>14</xdr:col>
      <xdr:colOff>657225</xdr:colOff>
      <xdr:row>38</xdr:row>
      <xdr:rowOff>66675</xdr:rowOff>
    </xdr:to>
    <xdr:graphicFrame macro="">
      <xdr:nvGraphicFramePr>
        <xdr:cNvPr id="10571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200025</xdr:colOff>
      <xdr:row>38</xdr:row>
      <xdr:rowOff>9525</xdr:rowOff>
    </xdr:from>
    <xdr:to>
      <xdr:col>14</xdr:col>
      <xdr:colOff>657225</xdr:colOff>
      <xdr:row>51</xdr:row>
      <xdr:rowOff>28575</xdr:rowOff>
    </xdr:to>
    <xdr:graphicFrame macro="">
      <xdr:nvGraphicFramePr>
        <xdr:cNvPr id="10571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266700</xdr:colOff>
      <xdr:row>1</xdr:row>
      <xdr:rowOff>180975</xdr:rowOff>
    </xdr:from>
    <xdr:to>
      <xdr:col>18</xdr:col>
      <xdr:colOff>19050</xdr:colOff>
      <xdr:row>14</xdr:row>
      <xdr:rowOff>171450</xdr:rowOff>
    </xdr:to>
    <xdr:graphicFrame macro="">
      <xdr:nvGraphicFramePr>
        <xdr:cNvPr id="17446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266700</xdr:colOff>
      <xdr:row>15</xdr:row>
      <xdr:rowOff>19050</xdr:rowOff>
    </xdr:from>
    <xdr:to>
      <xdr:col>18</xdr:col>
      <xdr:colOff>19050</xdr:colOff>
      <xdr:row>28</xdr:row>
      <xdr:rowOff>9525</xdr:rowOff>
    </xdr:to>
    <xdr:graphicFrame macro="">
      <xdr:nvGraphicFramePr>
        <xdr:cNvPr id="17446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123825</xdr:colOff>
      <xdr:row>2</xdr:row>
      <xdr:rowOff>85725</xdr:rowOff>
    </xdr:from>
    <xdr:to>
      <xdr:col>27</xdr:col>
      <xdr:colOff>571500</xdr:colOff>
      <xdr:row>15</xdr:row>
      <xdr:rowOff>76200</xdr:rowOff>
    </xdr:to>
    <xdr:graphicFrame macro="">
      <xdr:nvGraphicFramePr>
        <xdr:cNvPr id="17447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152400</xdr:colOff>
      <xdr:row>2</xdr:row>
      <xdr:rowOff>114300</xdr:rowOff>
    </xdr:from>
    <xdr:to>
      <xdr:col>38</xdr:col>
      <xdr:colOff>590550</xdr:colOff>
      <xdr:row>15</xdr:row>
      <xdr:rowOff>104775</xdr:rowOff>
    </xdr:to>
    <xdr:graphicFrame macro="">
      <xdr:nvGraphicFramePr>
        <xdr:cNvPr id="174471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oleObject" Target="../embeddings/oleObject3.bin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4.bin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5.bin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oleObject" Target="../embeddings/oleObject6.bin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7.emf"/><Relationship Id="rId4" Type="http://schemas.openxmlformats.org/officeDocument/2006/relationships/oleObject" Target="../embeddings/oleObject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8.bin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image" Target="../media/image9.emf"/><Relationship Id="rId5" Type="http://schemas.openxmlformats.org/officeDocument/2006/relationships/oleObject" Target="../embeddings/oleObject9.bin"/><Relationship Id="rId4" Type="http://schemas.openxmlformats.org/officeDocument/2006/relationships/image" Target="../media/image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0.bin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image" Target="../media/image9.emf"/><Relationship Id="rId5" Type="http://schemas.openxmlformats.org/officeDocument/2006/relationships/oleObject" Target="../embeddings/oleObject11.bin"/><Relationship Id="rId4" Type="http://schemas.openxmlformats.org/officeDocument/2006/relationships/image" Target="../media/image7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G28"/>
  <sheetViews>
    <sheetView workbookViewId="0">
      <selection activeCell="E18" sqref="E18"/>
    </sheetView>
  </sheetViews>
  <sheetFormatPr defaultColWidth="8.875" defaultRowHeight="16.5"/>
  <sheetData>
    <row r="1" spans="1:7" ht="20.25">
      <c r="A1" s="159" t="s">
        <v>158</v>
      </c>
      <c r="B1" s="158"/>
      <c r="C1" s="157"/>
      <c r="D1" s="161"/>
      <c r="E1" s="160"/>
      <c r="F1" s="160"/>
      <c r="G1" s="160"/>
    </row>
    <row r="2" spans="1:7">
      <c r="A2" s="162"/>
      <c r="B2" s="163"/>
      <c r="C2" s="163"/>
      <c r="D2" s="160"/>
      <c r="E2" s="160"/>
      <c r="F2" s="160"/>
      <c r="G2" s="164" t="s">
        <v>141</v>
      </c>
    </row>
    <row r="3" spans="1:7">
      <c r="A3" s="165"/>
      <c r="B3" s="166" t="s">
        <v>142</v>
      </c>
      <c r="C3" s="160"/>
      <c r="D3" s="160"/>
      <c r="E3" s="160"/>
      <c r="F3" s="160"/>
      <c r="G3" s="160"/>
    </row>
    <row r="4" spans="1:7">
      <c r="A4" s="165"/>
      <c r="B4" s="167" t="s">
        <v>38</v>
      </c>
      <c r="C4" s="168"/>
      <c r="D4" s="168"/>
      <c r="E4" s="185">
        <v>100</v>
      </c>
      <c r="F4" s="160"/>
      <c r="G4" s="160"/>
    </row>
    <row r="5" spans="1:7">
      <c r="A5" s="165"/>
      <c r="B5" s="167" t="s">
        <v>143</v>
      </c>
      <c r="C5" s="169"/>
      <c r="D5" s="169"/>
      <c r="E5" s="186">
        <v>80</v>
      </c>
      <c r="F5" s="170"/>
      <c r="G5" s="160"/>
    </row>
    <row r="6" spans="1:7">
      <c r="A6" s="160"/>
      <c r="B6" s="167" t="s">
        <v>144</v>
      </c>
      <c r="C6" s="169"/>
      <c r="D6" s="169"/>
      <c r="E6" s="184">
        <v>1</v>
      </c>
      <c r="F6" s="170"/>
      <c r="G6" s="160"/>
    </row>
    <row r="7" spans="1:7">
      <c r="A7" s="160"/>
      <c r="B7" s="167" t="s">
        <v>145</v>
      </c>
      <c r="C7" s="169"/>
      <c r="D7" s="169"/>
      <c r="E7" s="187">
        <v>0.02</v>
      </c>
      <c r="F7" s="165"/>
      <c r="G7" s="160"/>
    </row>
    <row r="8" spans="1:7">
      <c r="A8" s="160"/>
      <c r="B8" s="167" t="s">
        <v>146</v>
      </c>
      <c r="C8" s="169"/>
      <c r="D8" s="169"/>
      <c r="E8" s="188">
        <v>0.25</v>
      </c>
      <c r="F8" s="160"/>
      <c r="G8" s="160"/>
    </row>
    <row r="9" spans="1:7">
      <c r="A9" s="160"/>
      <c r="B9" s="171"/>
      <c r="C9" s="172"/>
      <c r="D9" s="172"/>
      <c r="E9" s="189"/>
      <c r="F9" s="160"/>
      <c r="G9" s="160"/>
    </row>
    <row r="10" spans="1:7">
      <c r="A10" s="165" t="s">
        <v>147</v>
      </c>
      <c r="B10" s="160"/>
      <c r="C10" s="160"/>
      <c r="D10" s="160"/>
      <c r="E10" s="160"/>
      <c r="F10" s="160"/>
      <c r="G10" s="160"/>
    </row>
    <row r="11" spans="1:7">
      <c r="A11" s="160"/>
      <c r="B11" s="173" t="s">
        <v>148</v>
      </c>
      <c r="C11" s="160"/>
      <c r="D11" s="160"/>
      <c r="E11" s="160"/>
      <c r="F11" s="160"/>
      <c r="G11" s="160"/>
    </row>
    <row r="12" spans="1:7">
      <c r="A12" s="160"/>
      <c r="B12" s="174" t="s">
        <v>149</v>
      </c>
      <c r="C12" s="175"/>
      <c r="D12" s="175"/>
      <c r="E12" s="202">
        <f>(LN(E4/E5)+(E7+E8^2/2)*E6)/(E8*SQRT(E6))</f>
        <v>1.0975742052568391</v>
      </c>
      <c r="F12" s="160"/>
      <c r="G12" s="160"/>
    </row>
    <row r="13" spans="1:7">
      <c r="A13" s="160"/>
      <c r="B13" s="174" t="s">
        <v>150</v>
      </c>
      <c r="C13" s="176"/>
      <c r="D13" s="176"/>
      <c r="E13" s="195">
        <f>(LN(E4/E5)+(E7-E8^2/2)*E6)/(E8*SQRT(E6))</f>
        <v>0.84757420525683902</v>
      </c>
      <c r="F13" s="160"/>
      <c r="G13" s="160"/>
    </row>
    <row r="14" spans="1:7">
      <c r="A14" s="160"/>
      <c r="B14" s="174" t="s">
        <v>151</v>
      </c>
      <c r="C14" s="176"/>
      <c r="D14" s="176"/>
      <c r="E14" s="195">
        <f>E5*EXP(-E7*E6)</f>
        <v>78.415893864540422</v>
      </c>
      <c r="F14" s="160"/>
      <c r="G14" s="160"/>
    </row>
    <row r="15" spans="1:7">
      <c r="A15" s="160"/>
      <c r="B15" s="174"/>
      <c r="C15" s="176"/>
      <c r="D15" s="176"/>
      <c r="E15" s="195"/>
      <c r="F15" s="160"/>
      <c r="G15" s="160"/>
    </row>
    <row r="16" spans="1:7">
      <c r="A16" s="160"/>
      <c r="B16" s="174" t="s">
        <v>152</v>
      </c>
      <c r="C16" s="176"/>
      <c r="D16" s="176"/>
      <c r="E16" s="195">
        <f>E4*NORMSDIST(E12)-E14*NORMSDIST(E13)</f>
        <v>23.517401085157189</v>
      </c>
      <c r="F16" s="160"/>
      <c r="G16" s="160"/>
    </row>
    <row r="17" spans="2:7">
      <c r="B17" s="174" t="s">
        <v>153</v>
      </c>
      <c r="C17" s="176"/>
      <c r="D17" s="176"/>
      <c r="E17" s="195">
        <f>E14*NORMSDIST(-E13)-E4*NORMSDIST(-E12)</f>
        <v>1.9332949496976131</v>
      </c>
      <c r="F17" s="160"/>
      <c r="G17" s="160"/>
    </row>
    <row r="18" spans="2:7">
      <c r="B18" s="179" t="s">
        <v>154</v>
      </c>
      <c r="C18" s="180"/>
      <c r="D18" s="180"/>
      <c r="E18" s="196">
        <f>E16-E4+E14</f>
        <v>1.9332949496976113</v>
      </c>
      <c r="F18" s="160" t="s">
        <v>232</v>
      </c>
      <c r="G18" s="192"/>
    </row>
    <row r="19" spans="2:7">
      <c r="B19" s="182"/>
      <c r="C19" s="183"/>
      <c r="D19" s="183"/>
      <c r="E19" s="197"/>
      <c r="F19" s="181"/>
      <c r="G19" s="181"/>
    </row>
    <row r="20" spans="2:7">
      <c r="B20" s="182"/>
      <c r="C20" s="183"/>
      <c r="D20" s="183"/>
      <c r="E20" s="197"/>
      <c r="F20" s="181"/>
      <c r="G20" s="181"/>
    </row>
    <row r="21" spans="2:7">
      <c r="B21" s="182"/>
      <c r="C21" s="183"/>
      <c r="D21" s="183"/>
      <c r="E21" s="197"/>
      <c r="F21" s="181"/>
      <c r="G21" s="181"/>
    </row>
    <row r="22" spans="2:7">
      <c r="B22" s="174" t="s">
        <v>155</v>
      </c>
      <c r="C22" s="176"/>
      <c r="D22" s="176"/>
      <c r="E22" s="195">
        <f>NORMSDIST(E12)</f>
        <v>0.86380476920881943</v>
      </c>
      <c r="F22" s="160"/>
      <c r="G22" s="160"/>
    </row>
    <row r="23" spans="2:7">
      <c r="B23" s="174" t="s">
        <v>101</v>
      </c>
      <c r="C23" s="176"/>
      <c r="D23" s="176"/>
      <c r="E23" s="195">
        <f>-NORMSDIST(-E12)</f>
        <v>-0.13619523079118054</v>
      </c>
      <c r="F23" s="160"/>
      <c r="G23" s="160"/>
    </row>
    <row r="24" spans="2:7">
      <c r="B24" s="177" t="s">
        <v>156</v>
      </c>
      <c r="C24" s="178"/>
      <c r="D24" s="178"/>
      <c r="E24" s="198">
        <f>NORMDIST(E12,0,1,0)/(E4*E8*SQRT(E6))</f>
        <v>8.7373448699195715E-3</v>
      </c>
      <c r="F24" s="160"/>
      <c r="G24" s="160"/>
    </row>
    <row r="27" spans="2:7">
      <c r="B27" s="160"/>
      <c r="C27" s="160"/>
      <c r="D27" s="160"/>
      <c r="E27" s="190"/>
      <c r="F27" s="160"/>
      <c r="G27" s="160"/>
    </row>
    <row r="28" spans="2:7">
      <c r="B28" s="160"/>
      <c r="C28" s="160"/>
      <c r="D28" s="160"/>
      <c r="E28" s="191"/>
      <c r="F28" s="160"/>
      <c r="G28" s="160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132097" r:id="rId3">
          <objectPr defaultSize="0" autoPict="0" r:id="rId4">
            <anchor moveWithCells="1" sizeWithCells="1">
              <from>
                <xdr:col>6</xdr:col>
                <xdr:colOff>219075</xdr:colOff>
                <xdr:row>2</xdr:row>
                <xdr:rowOff>200025</xdr:rowOff>
              </from>
              <to>
                <xdr:col>10</xdr:col>
                <xdr:colOff>561975</xdr:colOff>
                <xdr:row>11</xdr:row>
                <xdr:rowOff>85725</xdr:rowOff>
              </to>
            </anchor>
          </objectPr>
        </oleObject>
      </mc:Choice>
      <mc:Fallback>
        <oleObject progId="Equation.3" shapeId="132097" r:id="rId3"/>
      </mc:Fallback>
    </mc:AlternateContent>
  </oleObjec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L147"/>
  <sheetViews>
    <sheetView showGridLines="0" topLeftCell="A126" workbookViewId="0">
      <selection activeCell="P115" sqref="P115"/>
    </sheetView>
  </sheetViews>
  <sheetFormatPr defaultColWidth="8.875" defaultRowHeight="16.5"/>
  <cols>
    <col min="1" max="1" width="12.5" customWidth="1"/>
    <col min="4" max="4" width="14.5" customWidth="1"/>
    <col min="5" max="5" width="16.875" customWidth="1"/>
  </cols>
  <sheetData>
    <row r="1" spans="1:5" ht="20.25">
      <c r="A1" s="42" t="s">
        <v>168</v>
      </c>
      <c r="B1" s="3"/>
      <c r="C1" s="4"/>
      <c r="D1" s="33"/>
      <c r="E1" s="33"/>
    </row>
    <row r="3" spans="1:5">
      <c r="A3" t="s">
        <v>157</v>
      </c>
    </row>
    <row r="4" spans="1:5">
      <c r="A4" t="s">
        <v>12</v>
      </c>
    </row>
    <row r="18" spans="1:5" ht="20.25">
      <c r="A18" s="46" t="s">
        <v>169</v>
      </c>
      <c r="B18" s="47"/>
      <c r="C18" s="48"/>
      <c r="D18" s="249"/>
      <c r="E18" s="249"/>
    </row>
    <row r="20" spans="1:5">
      <c r="A20" t="s">
        <v>28</v>
      </c>
    </row>
    <row r="21" spans="1:5">
      <c r="A21" t="s">
        <v>29</v>
      </c>
    </row>
    <row r="22" spans="1:5">
      <c r="A22" t="s">
        <v>9</v>
      </c>
    </row>
    <row r="23" spans="1:5">
      <c r="A23" t="s">
        <v>24</v>
      </c>
    </row>
    <row r="25" spans="1:5">
      <c r="A25" t="s">
        <v>13</v>
      </c>
    </row>
    <row r="26" spans="1:5">
      <c r="A26" t="s">
        <v>14</v>
      </c>
    </row>
    <row r="27" spans="1:5">
      <c r="A27" t="s">
        <v>26</v>
      </c>
    </row>
    <row r="28" spans="1:5">
      <c r="A28" t="s">
        <v>253</v>
      </c>
    </row>
    <row r="29" spans="1:5">
      <c r="A29" s="39" t="s">
        <v>254</v>
      </c>
    </row>
    <row r="30" spans="1:5">
      <c r="A30" t="s">
        <v>15</v>
      </c>
    </row>
    <row r="32" spans="1:5">
      <c r="A32" t="s">
        <v>9</v>
      </c>
    </row>
    <row r="33" spans="1:5">
      <c r="A33" t="s">
        <v>18</v>
      </c>
    </row>
    <row r="34" spans="1:5">
      <c r="A34" t="s">
        <v>19</v>
      </c>
    </row>
    <row r="35" spans="1:5">
      <c r="A35" t="s">
        <v>240</v>
      </c>
    </row>
    <row r="36" spans="1:5">
      <c r="A36" t="s">
        <v>241</v>
      </c>
    </row>
    <row r="37" spans="1:5">
      <c r="A37" t="s">
        <v>9</v>
      </c>
    </row>
    <row r="39" spans="1:5">
      <c r="A39" t="s">
        <v>16</v>
      </c>
    </row>
    <row r="41" spans="1:5">
      <c r="A41" s="32" t="s">
        <v>48</v>
      </c>
      <c r="B41" s="32">
        <v>100</v>
      </c>
      <c r="C41" s="34"/>
      <c r="D41" s="34" t="s">
        <v>30</v>
      </c>
      <c r="E41" s="194">
        <f>BSsimple(B41,B42,B43,B44,B45)</f>
        <v>11.348476825143521</v>
      </c>
    </row>
    <row r="42" spans="1:5">
      <c r="A42" s="32" t="s">
        <v>49</v>
      </c>
      <c r="B42" s="32">
        <v>100</v>
      </c>
      <c r="C42" s="32"/>
      <c r="D42" s="34"/>
      <c r="E42" s="38"/>
    </row>
    <row r="43" spans="1:5">
      <c r="A43" s="32" t="s">
        <v>50</v>
      </c>
      <c r="B43" s="32">
        <v>1</v>
      </c>
      <c r="C43" s="32"/>
      <c r="D43" s="32"/>
      <c r="E43" s="32"/>
    </row>
    <row r="44" spans="1:5">
      <c r="A44" s="32" t="s">
        <v>52</v>
      </c>
      <c r="B44" s="35">
        <v>0.03</v>
      </c>
      <c r="C44" s="32"/>
      <c r="D44" s="32"/>
      <c r="E44" s="32"/>
    </row>
    <row r="45" spans="1:5">
      <c r="A45" s="32" t="s">
        <v>51</v>
      </c>
      <c r="B45" s="35">
        <v>0.25</v>
      </c>
      <c r="C45" s="32"/>
      <c r="D45" s="32"/>
      <c r="E45" s="32"/>
    </row>
    <row r="47" spans="1:5">
      <c r="A47" t="s">
        <v>9</v>
      </c>
    </row>
    <row r="49" spans="1:1">
      <c r="A49" s="36" t="s">
        <v>32</v>
      </c>
    </row>
    <row r="50" spans="1:1">
      <c r="A50" t="s">
        <v>33</v>
      </c>
    </row>
    <row r="51" spans="1:1">
      <c r="A51" s="247" t="s">
        <v>239</v>
      </c>
    </row>
    <row r="70" spans="1:1">
      <c r="A70" t="s">
        <v>31</v>
      </c>
    </row>
    <row r="71" spans="1:1">
      <c r="A71" t="s">
        <v>17</v>
      </c>
    </row>
    <row r="89" spans="1:1">
      <c r="A89" t="s">
        <v>9</v>
      </c>
    </row>
    <row r="91" spans="1:1">
      <c r="A91" s="31" t="s">
        <v>171</v>
      </c>
    </row>
    <row r="93" spans="1:1">
      <c r="A93" s="39" t="s">
        <v>246</v>
      </c>
    </row>
    <row r="94" spans="1:1">
      <c r="A94" t="s">
        <v>9</v>
      </c>
    </row>
    <row r="95" spans="1:1">
      <c r="A95" t="s">
        <v>216</v>
      </c>
    </row>
    <row r="96" spans="1:1">
      <c r="A96" t="s">
        <v>34</v>
      </c>
    </row>
    <row r="97" spans="1:1">
      <c r="A97" t="s">
        <v>217</v>
      </c>
    </row>
    <row r="99" spans="1:1">
      <c r="A99" t="s">
        <v>247</v>
      </c>
    </row>
    <row r="101" spans="1:1">
      <c r="A101" t="s">
        <v>13</v>
      </c>
    </row>
    <row r="102" spans="1:1">
      <c r="A102" t="s">
        <v>14</v>
      </c>
    </row>
    <row r="103" spans="1:1">
      <c r="A103" t="s">
        <v>172</v>
      </c>
    </row>
    <row r="105" spans="1:1">
      <c r="A105" t="s">
        <v>248</v>
      </c>
    </row>
    <row r="107" spans="1:1">
      <c r="A107" t="s">
        <v>249</v>
      </c>
    </row>
    <row r="108" spans="1:1">
      <c r="A108" t="s">
        <v>250</v>
      </c>
    </row>
    <row r="110" spans="1:1">
      <c r="A110" t="s">
        <v>251</v>
      </c>
    </row>
    <row r="111" spans="1:1">
      <c r="A111" t="s">
        <v>9</v>
      </c>
    </row>
    <row r="113" spans="1:11">
      <c r="A113" t="s">
        <v>35</v>
      </c>
    </row>
    <row r="115" spans="1:11">
      <c r="A115" s="32" t="s">
        <v>48</v>
      </c>
      <c r="B115" s="32">
        <v>100</v>
      </c>
      <c r="C115" s="34"/>
      <c r="D115" s="34" t="s">
        <v>30</v>
      </c>
      <c r="E115" s="38">
        <f>BSsimple(B115,B116,B117,B118,B119)</f>
        <v>11.348476825143521</v>
      </c>
    </row>
    <row r="116" spans="1:11">
      <c r="A116" s="32" t="s">
        <v>49</v>
      </c>
      <c r="B116" s="32">
        <v>100</v>
      </c>
      <c r="C116" s="32"/>
      <c r="D116" s="34" t="s">
        <v>173</v>
      </c>
      <c r="E116" s="38">
        <f>BSCall(B115,B116,B117,B118,B119)</f>
        <v>11.348476825143525</v>
      </c>
    </row>
    <row r="117" spans="1:11">
      <c r="A117" s="32" t="s">
        <v>50</v>
      </c>
      <c r="B117" s="32">
        <v>1</v>
      </c>
      <c r="C117" s="32"/>
      <c r="D117" s="32"/>
      <c r="E117" s="32"/>
    </row>
    <row r="118" spans="1:11">
      <c r="A118" s="32" t="s">
        <v>52</v>
      </c>
      <c r="B118" s="35">
        <v>0.03</v>
      </c>
      <c r="C118" s="32"/>
      <c r="D118" s="32"/>
      <c r="E118" s="32"/>
    </row>
    <row r="119" spans="1:11">
      <c r="A119" s="32" t="s">
        <v>51</v>
      </c>
      <c r="B119" s="35">
        <v>0.25</v>
      </c>
      <c r="C119" s="32"/>
      <c r="D119" s="32"/>
      <c r="E119" s="32"/>
    </row>
    <row r="123" spans="1:11" ht="20.25">
      <c r="A123" s="46" t="s">
        <v>242</v>
      </c>
      <c r="B123" s="47"/>
      <c r="C123" s="48"/>
      <c r="D123" s="249"/>
      <c r="E123" s="249"/>
    </row>
    <row r="124" spans="1:11">
      <c r="G124" s="43"/>
      <c r="H124" s="2"/>
      <c r="I124" s="2"/>
      <c r="J124" s="2"/>
      <c r="K124" s="2"/>
    </row>
    <row r="125" spans="1:11">
      <c r="B125" s="45" t="s">
        <v>47</v>
      </c>
      <c r="C125" s="6"/>
      <c r="H125" s="44"/>
      <c r="I125" s="44"/>
      <c r="J125" s="44"/>
      <c r="K125" s="44"/>
    </row>
    <row r="126" spans="1:11">
      <c r="B126" s="18" t="s">
        <v>0</v>
      </c>
      <c r="G126" s="45"/>
      <c r="H126" s="44"/>
      <c r="I126" s="44"/>
      <c r="J126" s="44"/>
      <c r="K126" s="44"/>
    </row>
    <row r="127" spans="1:11">
      <c r="B127" s="19" t="s">
        <v>38</v>
      </c>
      <c r="C127" s="20"/>
      <c r="D127" s="20"/>
      <c r="E127" s="21">
        <v>100</v>
      </c>
      <c r="G127" s="45"/>
      <c r="H127" s="44"/>
      <c r="I127" s="44"/>
      <c r="J127" s="44"/>
      <c r="K127" s="44"/>
    </row>
    <row r="128" spans="1:11">
      <c r="B128" s="19" t="s">
        <v>39</v>
      </c>
      <c r="C128" s="22"/>
      <c r="D128" s="22"/>
      <c r="E128" s="30">
        <v>100</v>
      </c>
      <c r="F128" s="23"/>
    </row>
    <row r="129" spans="1:12">
      <c r="B129" s="19" t="s">
        <v>40</v>
      </c>
      <c r="C129" s="22"/>
      <c r="D129" s="22"/>
      <c r="E129" s="24">
        <v>1</v>
      </c>
      <c r="F129" s="23"/>
    </row>
    <row r="130" spans="1:12">
      <c r="B130" s="19" t="s">
        <v>10</v>
      </c>
      <c r="C130" s="22"/>
      <c r="D130" s="22"/>
      <c r="E130" s="25">
        <v>0.03</v>
      </c>
      <c r="F130" s="1"/>
    </row>
    <row r="131" spans="1:12">
      <c r="B131" s="19" t="s">
        <v>41</v>
      </c>
      <c r="C131" s="22"/>
      <c r="D131" s="22"/>
      <c r="E131" s="54">
        <v>0.25</v>
      </c>
      <c r="H131" s="43"/>
      <c r="I131" s="44"/>
      <c r="J131" s="44"/>
      <c r="K131" s="44"/>
      <c r="L131" s="44"/>
    </row>
    <row r="132" spans="1:12">
      <c r="C132" s="44"/>
      <c r="D132" s="44"/>
      <c r="E132" s="44"/>
      <c r="H132" s="45"/>
      <c r="I132" s="44"/>
      <c r="J132" s="44"/>
      <c r="K132" s="44"/>
      <c r="L132" s="44"/>
    </row>
    <row r="133" spans="1:12">
      <c r="H133" s="45"/>
      <c r="I133" s="44"/>
      <c r="J133" s="44"/>
      <c r="K133" s="44"/>
      <c r="L133" s="44"/>
    </row>
    <row r="134" spans="1:12">
      <c r="B134" s="52" t="s">
        <v>43</v>
      </c>
      <c r="C134" s="53"/>
      <c r="D134" s="53"/>
      <c r="E134" s="51">
        <f>BSPut(E127,E128,E129,E130,E131)</f>
        <v>8.3930301799943301</v>
      </c>
      <c r="F134" s="29"/>
      <c r="H134" s="45"/>
      <c r="I134" s="44"/>
      <c r="J134" s="44"/>
      <c r="K134" s="44"/>
      <c r="L134" s="44"/>
    </row>
    <row r="137" spans="1:12">
      <c r="A137" t="s">
        <v>9</v>
      </c>
    </row>
    <row r="138" spans="1:12">
      <c r="A138" t="s">
        <v>44</v>
      </c>
    </row>
    <row r="139" spans="1:12">
      <c r="A139" t="s">
        <v>20</v>
      </c>
    </row>
    <row r="140" spans="1:12">
      <c r="A140" t="s">
        <v>45</v>
      </c>
    </row>
    <row r="141" spans="1:12">
      <c r="A141" t="s">
        <v>21</v>
      </c>
    </row>
    <row r="142" spans="1:12">
      <c r="A142" t="s">
        <v>13</v>
      </c>
    </row>
    <row r="143" spans="1:12">
      <c r="A143" t="s">
        <v>14</v>
      </c>
    </row>
    <row r="144" spans="1:12">
      <c r="A144" t="s">
        <v>46</v>
      </c>
    </row>
    <row r="145" spans="1:1">
      <c r="A145" t="s">
        <v>20</v>
      </c>
    </row>
    <row r="146" spans="1:1">
      <c r="A146" t="s">
        <v>15</v>
      </c>
    </row>
    <row r="147" spans="1:1">
      <c r="A147" t="s">
        <v>9</v>
      </c>
    </row>
  </sheetData>
  <phoneticPr fontId="2" type="noConversion"/>
  <pageMargins left="0.75" right="0.75" top="1" bottom="1" header="0.5" footer="0.5"/>
  <headerFooter alignWithMargins="0"/>
  <drawing r:id="rId1"/>
  <legacyDrawing r:id="rId2"/>
  <oleObjects>
    <mc:AlternateContent xmlns:mc="http://schemas.openxmlformats.org/markup-compatibility/2006">
      <mc:Choice Requires="x14">
        <oleObject progId="Equation.3" shapeId="11265" r:id="rId3">
          <objectPr defaultSize="0" autoPict="0" r:id="rId4">
            <anchor moveWithCells="1" sizeWithCells="1">
              <from>
                <xdr:col>0</xdr:col>
                <xdr:colOff>333375</xdr:colOff>
                <xdr:row>5</xdr:row>
                <xdr:rowOff>47625</xdr:rowOff>
              </from>
              <to>
                <xdr:col>4</xdr:col>
                <xdr:colOff>1209675</xdr:colOff>
                <xdr:row>14</xdr:row>
                <xdr:rowOff>142875</xdr:rowOff>
              </to>
            </anchor>
          </objectPr>
        </oleObject>
      </mc:Choice>
      <mc:Fallback>
        <oleObject progId="Equation.3" shapeId="11265" r:id="rId3"/>
      </mc:Fallback>
    </mc:AlternateContent>
    <mc:AlternateContent xmlns:mc="http://schemas.openxmlformats.org/markup-compatibility/2006">
      <mc:Choice Requires="x14">
        <oleObject progId="Equation.3" shapeId="11448" r:id="rId5">
          <objectPr defaultSize="0" autoPict="0" r:id="rId4">
            <anchor moveWithCells="1" sizeWithCells="1">
              <from>
                <xdr:col>5</xdr:col>
                <xdr:colOff>152400</xdr:colOff>
                <xdr:row>125</xdr:row>
                <xdr:rowOff>104775</xdr:rowOff>
              </from>
              <to>
                <xdr:col>11</xdr:col>
                <xdr:colOff>28575</xdr:colOff>
                <xdr:row>134</xdr:row>
                <xdr:rowOff>142875</xdr:rowOff>
              </to>
            </anchor>
          </objectPr>
        </oleObject>
      </mc:Choice>
      <mc:Fallback>
        <oleObject progId="Equation.3" shapeId="11448" r:id="rId5"/>
      </mc:Fallback>
    </mc:AlternateContent>
  </oleObjec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K24"/>
  <sheetViews>
    <sheetView topLeftCell="A4" workbookViewId="0">
      <selection activeCell="C11" sqref="C11"/>
    </sheetView>
  </sheetViews>
  <sheetFormatPr defaultColWidth="8.875" defaultRowHeight="16.5"/>
  <cols>
    <col min="4" max="4" width="13" customWidth="1"/>
  </cols>
  <sheetData>
    <row r="1" spans="1:7" ht="20.25">
      <c r="A1" s="159" t="s">
        <v>159</v>
      </c>
      <c r="B1" s="158"/>
      <c r="C1" s="157"/>
      <c r="D1" s="204"/>
      <c r="E1" s="160"/>
      <c r="F1" s="160"/>
      <c r="G1" s="160"/>
    </row>
    <row r="2" spans="1:7">
      <c r="A2" s="162"/>
      <c r="B2" s="163"/>
      <c r="C2" s="163"/>
      <c r="D2" s="160"/>
      <c r="E2" s="160"/>
      <c r="F2" s="160"/>
      <c r="G2" s="160"/>
    </row>
    <row r="3" spans="1:7">
      <c r="A3" s="162"/>
      <c r="B3" s="163"/>
      <c r="C3" s="163"/>
      <c r="D3" s="160"/>
      <c r="E3" s="160"/>
      <c r="F3" s="160"/>
      <c r="G3" s="164" t="s">
        <v>160</v>
      </c>
    </row>
    <row r="4" spans="1:7">
      <c r="A4" s="165"/>
      <c r="B4" s="166" t="s">
        <v>142</v>
      </c>
      <c r="C4" s="160"/>
      <c r="D4" s="160"/>
      <c r="E4" s="160"/>
      <c r="F4" s="160"/>
      <c r="G4" s="160"/>
    </row>
    <row r="5" spans="1:7">
      <c r="A5" s="165"/>
      <c r="B5" s="167" t="s">
        <v>38</v>
      </c>
      <c r="C5" s="168"/>
      <c r="D5" s="168"/>
      <c r="E5" s="60">
        <v>100</v>
      </c>
      <c r="F5" s="160"/>
      <c r="G5" s="160"/>
    </row>
    <row r="6" spans="1:7">
      <c r="A6" s="165"/>
      <c r="B6" s="167" t="s">
        <v>143</v>
      </c>
      <c r="C6" s="169"/>
      <c r="D6" s="169"/>
      <c r="E6" s="62">
        <v>100</v>
      </c>
      <c r="F6" s="170"/>
      <c r="G6" s="160"/>
    </row>
    <row r="7" spans="1:7">
      <c r="A7" s="160"/>
      <c r="B7" s="167" t="s">
        <v>161</v>
      </c>
      <c r="C7" s="169"/>
      <c r="D7" s="169"/>
      <c r="E7" s="63">
        <v>1</v>
      </c>
      <c r="F7" s="170"/>
      <c r="G7" s="160"/>
    </row>
    <row r="8" spans="1:7">
      <c r="A8" s="160"/>
      <c r="B8" s="167" t="s">
        <v>162</v>
      </c>
      <c r="C8" s="169"/>
      <c r="D8" s="169"/>
      <c r="E8" s="64">
        <v>0.03</v>
      </c>
      <c r="F8" s="165"/>
      <c r="G8" s="160"/>
    </row>
    <row r="9" spans="1:7">
      <c r="A9" s="160"/>
      <c r="B9" s="167" t="s">
        <v>163</v>
      </c>
      <c r="C9" s="169"/>
      <c r="D9" s="169"/>
      <c r="E9" s="64">
        <v>0.05</v>
      </c>
      <c r="F9" s="165"/>
      <c r="G9" s="160"/>
    </row>
    <row r="10" spans="1:7">
      <c r="A10" s="160"/>
      <c r="B10" s="167" t="s">
        <v>164</v>
      </c>
      <c r="C10" s="169"/>
      <c r="D10" s="169"/>
      <c r="E10" s="65">
        <v>0.25</v>
      </c>
      <c r="F10" s="160"/>
      <c r="G10" s="160"/>
    </row>
    <row r="11" spans="1:7">
      <c r="A11" s="160"/>
      <c r="B11" s="171"/>
      <c r="C11" s="172"/>
      <c r="D11" s="172"/>
      <c r="E11" s="203"/>
      <c r="F11" s="160"/>
      <c r="G11" s="160"/>
    </row>
    <row r="13" spans="1:7">
      <c r="A13" s="160"/>
      <c r="B13" s="160"/>
      <c r="C13" s="160"/>
      <c r="D13" s="160"/>
      <c r="E13" s="160"/>
      <c r="F13" s="199"/>
      <c r="G13" s="160"/>
    </row>
    <row r="15" spans="1:7">
      <c r="A15" s="165" t="s">
        <v>147</v>
      </c>
      <c r="B15" s="160"/>
      <c r="C15" s="160"/>
      <c r="D15" s="160"/>
      <c r="E15" s="160"/>
      <c r="F15" s="160"/>
      <c r="G15" s="160"/>
    </row>
    <row r="16" spans="1:7">
      <c r="A16" s="160"/>
      <c r="B16" s="173" t="s">
        <v>148</v>
      </c>
      <c r="C16" s="160"/>
      <c r="D16" s="160"/>
      <c r="E16" s="160"/>
      <c r="F16" s="160"/>
      <c r="G16" s="160"/>
    </row>
    <row r="17" spans="2:11">
      <c r="B17" s="174" t="s">
        <v>149</v>
      </c>
      <c r="C17" s="175"/>
      <c r="D17" s="175"/>
      <c r="E17" s="202">
        <f>(LN(E5/E6)+(E8-E9+E10^2/2)*E7)/(E10*SQRT(E7))</f>
        <v>4.4999999999999984E-2</v>
      </c>
      <c r="F17" s="160"/>
      <c r="G17" s="205"/>
      <c r="H17" s="183"/>
      <c r="I17" s="183"/>
      <c r="J17" s="183"/>
      <c r="K17" s="183"/>
    </row>
    <row r="18" spans="2:11">
      <c r="B18" s="174" t="s">
        <v>150</v>
      </c>
      <c r="C18" s="176"/>
      <c r="D18" s="176"/>
      <c r="E18" s="200">
        <f>(LN(E5/E6)+(E8-E9-E10^2/2)*E7)/(E10*SQRT(E7))</f>
        <v>-0.20500000000000002</v>
      </c>
      <c r="F18" s="160"/>
      <c r="G18" s="206"/>
      <c r="H18" s="183"/>
      <c r="I18" s="183"/>
      <c r="J18" s="183"/>
      <c r="K18" s="183"/>
    </row>
    <row r="19" spans="2:11">
      <c r="B19" s="174" t="s">
        <v>165</v>
      </c>
      <c r="C19" s="176"/>
      <c r="D19" s="176"/>
      <c r="E19" s="200">
        <f>E6*EXP(-E8*E7)</f>
        <v>97.044553354850819</v>
      </c>
      <c r="F19" s="160"/>
      <c r="G19" s="206"/>
      <c r="H19" s="183"/>
      <c r="I19" s="183"/>
      <c r="J19" s="183"/>
      <c r="K19" s="183"/>
    </row>
    <row r="20" spans="2:11">
      <c r="B20" s="174" t="s">
        <v>166</v>
      </c>
      <c r="C20" s="176"/>
      <c r="D20" s="176"/>
      <c r="E20" s="200">
        <f>E5*EXP(-E9*E7)</f>
        <v>95.122942450071406</v>
      </c>
      <c r="F20" s="160"/>
      <c r="G20" s="206"/>
      <c r="H20" s="183"/>
      <c r="I20" s="183"/>
      <c r="J20" s="183"/>
      <c r="K20" s="183"/>
    </row>
    <row r="21" spans="2:11">
      <c r="B21" s="174"/>
      <c r="C21" s="176"/>
      <c r="D21" s="176"/>
      <c r="E21" s="200"/>
      <c r="F21" s="160"/>
      <c r="G21" s="160"/>
      <c r="H21" s="160"/>
      <c r="I21" s="160"/>
      <c r="J21" s="160"/>
      <c r="K21" s="160"/>
    </row>
    <row r="22" spans="2:11">
      <c r="B22" s="174" t="s">
        <v>152</v>
      </c>
      <c r="C22" s="176"/>
      <c r="D22" s="176"/>
      <c r="E22" s="200">
        <f>E20*NORMSDIST(E17)-E19*NORMSDIST(E18)</f>
        <v>8.6276740295600192</v>
      </c>
      <c r="F22" s="160"/>
      <c r="G22" s="160"/>
      <c r="H22" s="160"/>
      <c r="I22" s="160"/>
      <c r="J22" s="160"/>
      <c r="K22" s="160"/>
    </row>
    <row r="23" spans="2:11">
      <c r="B23" s="174" t="s">
        <v>153</v>
      </c>
      <c r="C23" s="176"/>
      <c r="D23" s="176"/>
      <c r="E23" s="200">
        <f>E19*NORMSDIST(-E18)-E20*NORMSDIST(-E17)</f>
        <v>10.549284934339425</v>
      </c>
      <c r="F23" s="160"/>
      <c r="G23" s="160"/>
      <c r="H23" s="160"/>
      <c r="I23" s="160"/>
      <c r="J23" s="160"/>
      <c r="K23" s="160"/>
    </row>
    <row r="24" spans="2:11">
      <c r="B24" s="179" t="s">
        <v>167</v>
      </c>
      <c r="C24" s="180"/>
      <c r="D24" s="180"/>
      <c r="E24" s="201">
        <f>E22-E20+E19</f>
        <v>10.549284934339425</v>
      </c>
      <c r="F24" s="160" t="s">
        <v>233</v>
      </c>
      <c r="G24" s="160"/>
      <c r="H24" s="160"/>
      <c r="I24" s="160"/>
      <c r="J24" s="160"/>
      <c r="K24" s="160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138241" r:id="rId3">
          <objectPr defaultSize="0" autoPict="0" r:id="rId4">
            <anchor moveWithCells="1" sizeWithCells="1">
              <from>
                <xdr:col>6</xdr:col>
                <xdr:colOff>142875</xdr:colOff>
                <xdr:row>3</xdr:row>
                <xdr:rowOff>180975</xdr:rowOff>
              </from>
              <to>
                <xdr:col>11</xdr:col>
                <xdr:colOff>47625</xdr:colOff>
                <xdr:row>14</xdr:row>
                <xdr:rowOff>9525</xdr:rowOff>
              </to>
            </anchor>
          </objectPr>
        </oleObject>
      </mc:Choice>
      <mc:Fallback>
        <oleObject progId="Equation.3" shapeId="138241" r:id="rId3"/>
      </mc:Fallback>
    </mc:AlternateContent>
  </oleObjec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/>
  <dimension ref="A1:I98"/>
  <sheetViews>
    <sheetView showGridLines="0" tabSelected="1" workbookViewId="0">
      <selection activeCell="A10" sqref="A10"/>
    </sheetView>
  </sheetViews>
  <sheetFormatPr defaultColWidth="8.875" defaultRowHeight="16.5"/>
  <cols>
    <col min="5" max="5" width="9.5" bestFit="1" customWidth="1"/>
  </cols>
  <sheetData>
    <row r="1" spans="1:7" ht="20.25">
      <c r="A1" s="46" t="s">
        <v>42</v>
      </c>
      <c r="B1" s="47"/>
      <c r="C1" s="48"/>
      <c r="D1" s="50"/>
      <c r="E1" s="50"/>
      <c r="F1" s="50"/>
    </row>
    <row r="3" spans="1:7">
      <c r="B3" s="6"/>
      <c r="C3" s="6"/>
      <c r="G3" s="17" t="s">
        <v>56</v>
      </c>
    </row>
    <row r="4" spans="1:7">
      <c r="B4" s="18" t="s">
        <v>0</v>
      </c>
    </row>
    <row r="5" spans="1:7">
      <c r="B5" s="19" t="s">
        <v>38</v>
      </c>
      <c r="C5" s="20"/>
      <c r="D5" s="20"/>
      <c r="E5" s="60">
        <v>100</v>
      </c>
    </row>
    <row r="6" spans="1:7">
      <c r="B6" s="19" t="s">
        <v>39</v>
      </c>
      <c r="C6" s="22"/>
      <c r="D6" s="22"/>
      <c r="E6" s="62">
        <v>100</v>
      </c>
      <c r="F6" s="23"/>
    </row>
    <row r="7" spans="1:7">
      <c r="B7" s="19" t="s">
        <v>40</v>
      </c>
      <c r="C7" s="22"/>
      <c r="D7" s="22"/>
      <c r="E7" s="63">
        <v>1</v>
      </c>
      <c r="F7" s="23"/>
    </row>
    <row r="8" spans="1:7">
      <c r="B8" s="19" t="s">
        <v>10</v>
      </c>
      <c r="C8" s="22"/>
      <c r="D8" s="22"/>
      <c r="E8" s="64">
        <v>0.03</v>
      </c>
      <c r="F8" s="1"/>
    </row>
    <row r="9" spans="1:7">
      <c r="B9" s="19" t="s">
        <v>76</v>
      </c>
      <c r="C9" s="22"/>
      <c r="D9" s="22"/>
      <c r="E9" s="64">
        <v>0.05</v>
      </c>
    </row>
    <row r="10" spans="1:7">
      <c r="B10" s="19" t="s">
        <v>41</v>
      </c>
      <c r="C10" s="22"/>
      <c r="D10" s="22"/>
      <c r="E10" s="65">
        <v>0.25</v>
      </c>
    </row>
    <row r="11" spans="1:7">
      <c r="B11" s="26"/>
      <c r="C11" s="27"/>
      <c r="D11" s="27"/>
      <c r="E11" s="28"/>
    </row>
    <row r="12" spans="1:7">
      <c r="B12" s="52" t="s">
        <v>86</v>
      </c>
      <c r="C12" s="53"/>
      <c r="D12" s="53"/>
      <c r="E12" s="69">
        <f>BSCall_div(E5,E6,E7,E8,E9,E10)</f>
        <v>8.6276740295600192</v>
      </c>
      <c r="F12" s="29"/>
    </row>
    <row r="14" spans="1:7">
      <c r="A14" s="7" t="s">
        <v>222</v>
      </c>
      <c r="B14" s="2"/>
      <c r="C14" s="2"/>
      <c r="D14" s="2"/>
      <c r="E14" s="2"/>
    </row>
    <row r="15" spans="1:7">
      <c r="A15" s="8" t="s">
        <v>221</v>
      </c>
      <c r="B15" s="9"/>
      <c r="C15" s="9"/>
      <c r="D15" s="9"/>
      <c r="E15" s="10"/>
    </row>
    <row r="16" spans="1:7">
      <c r="A16" s="8" t="s">
        <v>11</v>
      </c>
      <c r="B16" s="11"/>
      <c r="C16" s="11"/>
      <c r="D16" s="11"/>
      <c r="E16" s="12"/>
    </row>
    <row r="17" spans="1:5">
      <c r="A17" s="13" t="s">
        <v>224</v>
      </c>
      <c r="B17" s="14"/>
      <c r="C17" s="14"/>
      <c r="D17" s="14"/>
      <c r="E17" s="15"/>
    </row>
    <row r="18" spans="1:5">
      <c r="B18" s="16"/>
      <c r="C18" s="44"/>
      <c r="D18" s="44"/>
      <c r="E18" s="156"/>
    </row>
    <row r="19" spans="1:5">
      <c r="B19" s="16"/>
      <c r="C19" s="44"/>
      <c r="D19" s="44"/>
      <c r="E19" s="156"/>
    </row>
    <row r="20" spans="1:5">
      <c r="B20" s="16"/>
      <c r="C20" s="44"/>
      <c r="D20" s="44"/>
      <c r="E20" s="156"/>
    </row>
    <row r="21" spans="1:5">
      <c r="B21" s="16"/>
      <c r="C21" s="44"/>
      <c r="D21" s="44"/>
      <c r="E21" s="193"/>
    </row>
    <row r="23" spans="1:5">
      <c r="B23" s="41" t="s">
        <v>27</v>
      </c>
    </row>
    <row r="38" spans="1:6">
      <c r="A38" t="s">
        <v>9</v>
      </c>
    </row>
    <row r="39" spans="1:6">
      <c r="A39" t="s">
        <v>219</v>
      </c>
    </row>
    <row r="40" spans="1:6">
      <c r="A40" t="s">
        <v>37</v>
      </c>
    </row>
    <row r="41" spans="1:6">
      <c r="A41" t="s">
        <v>36</v>
      </c>
    </row>
    <row r="42" spans="1:6">
      <c r="A42" t="s">
        <v>14</v>
      </c>
    </row>
    <row r="43" spans="1:6">
      <c r="A43" t="s">
        <v>220</v>
      </c>
    </row>
    <row r="45" spans="1:6">
      <c r="A45" t="s">
        <v>15</v>
      </c>
    </row>
    <row r="46" spans="1:6">
      <c r="A46" t="s">
        <v>9</v>
      </c>
    </row>
    <row r="48" spans="1:6" ht="20.25">
      <c r="A48" s="46" t="s">
        <v>170</v>
      </c>
      <c r="B48" s="47"/>
      <c r="C48" s="48"/>
      <c r="D48" s="50"/>
      <c r="E48" s="50"/>
      <c r="F48" s="50"/>
    </row>
    <row r="49" spans="1:9">
      <c r="A49" s="37"/>
    </row>
    <row r="51" spans="1:9">
      <c r="A51" s="56" t="s">
        <v>53</v>
      </c>
      <c r="B51" s="57"/>
      <c r="C51" s="57"/>
      <c r="D51" s="57"/>
    </row>
    <row r="52" spans="1:9">
      <c r="A52" s="58" t="s">
        <v>38</v>
      </c>
      <c r="B52" s="59"/>
      <c r="C52" s="59"/>
      <c r="D52" s="60">
        <v>100</v>
      </c>
    </row>
    <row r="53" spans="1:9">
      <c r="A53" s="58" t="s">
        <v>39</v>
      </c>
      <c r="B53" s="61"/>
      <c r="C53" s="61"/>
      <c r="D53" s="62">
        <v>100</v>
      </c>
    </row>
    <row r="54" spans="1:9">
      <c r="A54" s="58" t="s">
        <v>40</v>
      </c>
      <c r="B54" s="61"/>
      <c r="C54" s="61"/>
      <c r="D54" s="63">
        <v>1</v>
      </c>
    </row>
    <row r="55" spans="1:9">
      <c r="A55" s="58" t="s">
        <v>10</v>
      </c>
      <c r="B55" s="61"/>
      <c r="C55" s="61"/>
      <c r="D55" s="64">
        <v>0.03</v>
      </c>
    </row>
    <row r="56" spans="1:9">
      <c r="A56" s="58" t="s">
        <v>75</v>
      </c>
      <c r="B56" s="61"/>
      <c r="C56" s="61"/>
      <c r="D56" s="64">
        <v>0.05</v>
      </c>
    </row>
    <row r="57" spans="1:9">
      <c r="A57" s="58" t="s">
        <v>41</v>
      </c>
      <c r="B57" s="61"/>
      <c r="C57" s="61"/>
      <c r="D57" s="65">
        <v>0.25</v>
      </c>
    </row>
    <row r="58" spans="1:9">
      <c r="A58" s="66"/>
      <c r="B58" s="67"/>
      <c r="C58" s="67"/>
      <c r="D58" s="68"/>
    </row>
    <row r="60" spans="1:9">
      <c r="A60" s="52" t="s">
        <v>43</v>
      </c>
      <c r="B60" s="53"/>
      <c r="C60" s="53"/>
      <c r="D60" s="69">
        <f>BSPut_div(D52,D53,D54,D55,D56,D57)</f>
        <v>10.549284934339425</v>
      </c>
    </row>
    <row r="62" spans="1:9">
      <c r="A62" s="7" t="s">
        <v>222</v>
      </c>
      <c r="B62" s="2"/>
      <c r="C62" s="2"/>
      <c r="D62" s="2"/>
      <c r="E62" s="2"/>
    </row>
    <row r="63" spans="1:9">
      <c r="A63" s="8" t="s">
        <v>223</v>
      </c>
      <c r="B63" s="9"/>
      <c r="C63" s="9"/>
      <c r="D63" s="9"/>
      <c r="E63" s="10"/>
    </row>
    <row r="64" spans="1:9">
      <c r="A64" s="8" t="s">
        <v>11</v>
      </c>
      <c r="B64" s="11"/>
      <c r="C64" s="11"/>
      <c r="D64" s="11"/>
      <c r="E64" s="12"/>
      <c r="G64" s="11"/>
      <c r="H64" s="11"/>
      <c r="I64" s="11"/>
    </row>
    <row r="65" spans="1:9">
      <c r="A65" s="13" t="s">
        <v>225</v>
      </c>
      <c r="B65" s="14"/>
      <c r="C65" s="14"/>
      <c r="D65" s="14"/>
      <c r="E65" s="15"/>
      <c r="G65" s="11"/>
      <c r="H65" s="11"/>
      <c r="I65" s="11"/>
    </row>
    <row r="66" spans="1:9">
      <c r="A66" s="55" t="s">
        <v>27</v>
      </c>
    </row>
    <row r="88" spans="1:1">
      <c r="A88" t="s">
        <v>9</v>
      </c>
    </row>
    <row r="89" spans="1:1">
      <c r="A89" t="s">
        <v>54</v>
      </c>
    </row>
    <row r="90" spans="1:1">
      <c r="A90" t="s">
        <v>20</v>
      </c>
    </row>
    <row r="91" spans="1:1">
      <c r="A91" t="s">
        <v>45</v>
      </c>
    </row>
    <row r="92" spans="1:1">
      <c r="A92" t="s">
        <v>21</v>
      </c>
    </row>
    <row r="93" spans="1:1">
      <c r="A93" t="s">
        <v>36</v>
      </c>
    </row>
    <row r="94" spans="1:1">
      <c r="A94" t="s">
        <v>14</v>
      </c>
    </row>
    <row r="95" spans="1:1">
      <c r="A95" t="s">
        <v>55</v>
      </c>
    </row>
    <row r="96" spans="1:1">
      <c r="A96" t="s">
        <v>20</v>
      </c>
    </row>
    <row r="97" spans="1:1">
      <c r="A97" t="s">
        <v>15</v>
      </c>
    </row>
    <row r="98" spans="1:1">
      <c r="A98" t="s">
        <v>9</v>
      </c>
    </row>
  </sheetData>
  <phoneticPr fontId="2" type="noConversion"/>
  <pageMargins left="0.75" right="0.75" top="1" bottom="1" header="0.5" footer="0.5"/>
  <headerFooter alignWithMargins="0"/>
  <drawing r:id="rId1"/>
  <legacyDrawing r:id="rId2"/>
  <oleObjects>
    <mc:AlternateContent xmlns:mc="http://schemas.openxmlformats.org/markup-compatibility/2006">
      <mc:Choice Requires="x14">
        <oleObject progId="Equation.3" shapeId="4098" r:id="rId3">
          <objectPr defaultSize="0" autoPict="0" r:id="rId4">
            <anchor moveWithCells="1" sizeWithCells="1">
              <from>
                <xdr:col>5</xdr:col>
                <xdr:colOff>676275</xdr:colOff>
                <xdr:row>3</xdr:row>
                <xdr:rowOff>123825</xdr:rowOff>
              </from>
              <to>
                <xdr:col>11</xdr:col>
                <xdr:colOff>561975</xdr:colOff>
                <xdr:row>14</xdr:row>
                <xdr:rowOff>0</xdr:rowOff>
              </to>
            </anchor>
          </objectPr>
        </oleObject>
      </mc:Choice>
      <mc:Fallback>
        <oleObject progId="Equation.3" shapeId="4098" r:id="rId3"/>
      </mc:Fallback>
    </mc:AlternateContent>
    <mc:AlternateContent xmlns:mc="http://schemas.openxmlformats.org/markup-compatibility/2006">
      <mc:Choice Requires="x14">
        <oleObject progId="Equation.3" shapeId="4099" r:id="rId5">
          <objectPr defaultSize="0" autoPict="0" r:id="rId4">
            <anchor moveWithCells="1" sizeWithCells="1">
              <from>
                <xdr:col>4</xdr:col>
                <xdr:colOff>381000</xdr:colOff>
                <xdr:row>49</xdr:row>
                <xdr:rowOff>66675</xdr:rowOff>
              </from>
              <to>
                <xdr:col>10</xdr:col>
                <xdr:colOff>390525</xdr:colOff>
                <xdr:row>59</xdr:row>
                <xdr:rowOff>9525</xdr:rowOff>
              </to>
            </anchor>
          </objectPr>
        </oleObject>
      </mc:Choice>
      <mc:Fallback>
        <oleObject progId="Equation.3" shapeId="4099" r:id="rId5"/>
      </mc:Fallback>
    </mc:AlternateContent>
  </oleObjec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G36"/>
  <sheetViews>
    <sheetView topLeftCell="A7" workbookViewId="0">
      <selection activeCell="E32" sqref="E32"/>
    </sheetView>
  </sheetViews>
  <sheetFormatPr defaultColWidth="8.875" defaultRowHeight="16.5"/>
  <cols>
    <col min="1" max="1" width="12.5" customWidth="1"/>
  </cols>
  <sheetData>
    <row r="1" spans="1:7" ht="20.25">
      <c r="A1" s="46" t="s">
        <v>78</v>
      </c>
      <c r="B1" s="49"/>
      <c r="C1" s="49"/>
      <c r="D1" s="49"/>
      <c r="E1" s="49"/>
      <c r="F1" s="49"/>
      <c r="G1" s="49"/>
    </row>
    <row r="2" spans="1:7">
      <c r="A2" s="231" t="s">
        <v>79</v>
      </c>
    </row>
    <row r="3" spans="1:7">
      <c r="A3" s="231" t="s">
        <v>243</v>
      </c>
    </row>
    <row r="4" spans="1:7">
      <c r="A4" s="81" t="s">
        <v>58</v>
      </c>
      <c r="B4" s="61"/>
      <c r="C4" s="61"/>
      <c r="D4" s="232" t="s">
        <v>59</v>
      </c>
      <c r="E4" t="s">
        <v>255</v>
      </c>
    </row>
    <row r="5" spans="1:7">
      <c r="A5" s="99" t="s">
        <v>38</v>
      </c>
      <c r="B5" s="61"/>
      <c r="C5" s="61"/>
      <c r="D5" s="101">
        <v>100</v>
      </c>
    </row>
    <row r="6" spans="1:7">
      <c r="A6" s="99" t="s">
        <v>39</v>
      </c>
      <c r="B6" s="61"/>
      <c r="C6" s="61"/>
      <c r="D6" s="104">
        <v>100</v>
      </c>
    </row>
    <row r="7" spans="1:7">
      <c r="A7" s="99" t="s">
        <v>40</v>
      </c>
      <c r="B7" s="61"/>
      <c r="C7" s="61"/>
      <c r="D7" s="102">
        <v>1</v>
      </c>
    </row>
    <row r="8" spans="1:7">
      <c r="A8" s="99" t="s">
        <v>10</v>
      </c>
      <c r="B8" s="61"/>
      <c r="C8" s="61"/>
      <c r="D8" s="103">
        <v>0.03</v>
      </c>
    </row>
    <row r="9" spans="1:7">
      <c r="A9" s="99" t="s">
        <v>75</v>
      </c>
      <c r="B9" s="61"/>
      <c r="C9" s="61"/>
      <c r="D9" s="103">
        <v>0.05</v>
      </c>
    </row>
    <row r="10" spans="1:7">
      <c r="A10" s="99" t="s">
        <v>41</v>
      </c>
      <c r="B10" s="61"/>
      <c r="C10" s="61"/>
      <c r="D10" s="106">
        <v>0.25</v>
      </c>
    </row>
    <row r="12" spans="1:7">
      <c r="A12" s="52" t="s">
        <v>80</v>
      </c>
      <c r="B12" s="53"/>
      <c r="C12" s="53"/>
    </row>
    <row r="13" spans="1:7">
      <c r="A13" s="52" t="s">
        <v>86</v>
      </c>
      <c r="B13" s="53"/>
      <c r="C13" s="105">
        <f>BS("c",D5,D6,D7,D8,D9,D10)</f>
        <v>8.6276740295600174</v>
      </c>
    </row>
    <row r="14" spans="1:7">
      <c r="A14" s="52" t="s">
        <v>43</v>
      </c>
      <c r="B14" s="53"/>
      <c r="C14" s="105">
        <f>BS("p",D5,D6,D7,D8,D9,D10)</f>
        <v>10.549284934339425</v>
      </c>
    </row>
    <row r="15" spans="1:7">
      <c r="A15" t="s">
        <v>9</v>
      </c>
    </row>
    <row r="16" spans="1:7">
      <c r="A16" t="s">
        <v>218</v>
      </c>
    </row>
    <row r="17" spans="1:1">
      <c r="A17" t="s">
        <v>256</v>
      </c>
    </row>
    <row r="18" spans="1:1">
      <c r="A18" t="s">
        <v>257</v>
      </c>
    </row>
    <row r="19" spans="1:1">
      <c r="A19" t="s">
        <v>82</v>
      </c>
    </row>
    <row r="21" spans="1:1">
      <c r="A21" t="s">
        <v>15</v>
      </c>
    </row>
    <row r="22" spans="1:1">
      <c r="A22" t="s">
        <v>21</v>
      </c>
    </row>
    <row r="23" spans="1:1">
      <c r="A23" s="100" t="s">
        <v>234</v>
      </c>
    </row>
    <row r="24" spans="1:1">
      <c r="A24" t="s">
        <v>89</v>
      </c>
    </row>
    <row r="26" spans="1:1">
      <c r="A26" t="s">
        <v>45</v>
      </c>
    </row>
    <row r="28" spans="1:1">
      <c r="A28" t="s">
        <v>36</v>
      </c>
    </row>
    <row r="29" spans="1:1">
      <c r="A29" t="s">
        <v>14</v>
      </c>
    </row>
    <row r="30" spans="1:1">
      <c r="A30" t="s">
        <v>64</v>
      </c>
    </row>
    <row r="31" spans="1:1">
      <c r="A31" t="s">
        <v>85</v>
      </c>
    </row>
    <row r="32" spans="1:1">
      <c r="A32" t="s">
        <v>66</v>
      </c>
    </row>
    <row r="33" spans="1:1">
      <c r="A33" t="s">
        <v>90</v>
      </c>
    </row>
    <row r="34" spans="1:1">
      <c r="A34" t="s">
        <v>68</v>
      </c>
    </row>
    <row r="35" spans="1:1">
      <c r="A35" t="s">
        <v>15</v>
      </c>
    </row>
    <row r="36" spans="1:1">
      <c r="A36" t="s">
        <v>9</v>
      </c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74753" r:id="rId4">
          <objectPr defaultSize="0" autoPict="0" r:id="rId5">
            <anchor moveWithCells="1" sizeWithCells="1">
              <from>
                <xdr:col>4</xdr:col>
                <xdr:colOff>257175</xdr:colOff>
                <xdr:row>4</xdr:row>
                <xdr:rowOff>85725</xdr:rowOff>
              </from>
              <to>
                <xdr:col>11</xdr:col>
                <xdr:colOff>47625</xdr:colOff>
                <xdr:row>14</xdr:row>
                <xdr:rowOff>66675</xdr:rowOff>
              </to>
            </anchor>
          </objectPr>
        </oleObject>
      </mc:Choice>
      <mc:Fallback>
        <oleObject progId="Equation.3" shapeId="74753" r:id="rId4"/>
      </mc:Fallback>
    </mc:AlternateContent>
  </oleObjec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K62"/>
  <sheetViews>
    <sheetView workbookViewId="0">
      <selection activeCell="C14" sqref="C14:C62"/>
    </sheetView>
  </sheetViews>
  <sheetFormatPr defaultColWidth="8.875" defaultRowHeight="16.5"/>
  <cols>
    <col min="2" max="2" width="10.875" customWidth="1"/>
    <col min="3" max="3" width="14.125" customWidth="1"/>
    <col min="8" max="8" width="22.125" customWidth="1"/>
    <col min="9" max="9" width="11.875" customWidth="1"/>
    <col min="10" max="10" width="15.5" customWidth="1"/>
  </cols>
  <sheetData>
    <row r="1" spans="1:11" ht="20.25">
      <c r="A1" s="159" t="s">
        <v>174</v>
      </c>
      <c r="B1" s="158"/>
      <c r="C1" s="157"/>
      <c r="D1" s="160"/>
      <c r="E1" s="160"/>
      <c r="F1" s="160"/>
      <c r="G1" s="160"/>
      <c r="H1" s="160"/>
      <c r="I1" s="160"/>
      <c r="J1" s="160"/>
      <c r="K1" s="160"/>
    </row>
    <row r="2" spans="1:11">
      <c r="A2" s="162"/>
      <c r="B2" s="163"/>
      <c r="C2" s="163"/>
      <c r="D2" s="160"/>
      <c r="E2" s="160"/>
      <c r="F2" s="160"/>
      <c r="G2" s="160"/>
      <c r="H2" s="160"/>
      <c r="I2" s="160"/>
      <c r="J2" s="160"/>
      <c r="K2" s="160"/>
    </row>
    <row r="3" spans="1:11">
      <c r="A3" s="162"/>
      <c r="B3" s="163"/>
      <c r="C3" s="163"/>
      <c r="D3" s="160"/>
      <c r="E3" s="160"/>
      <c r="F3" s="160"/>
      <c r="G3" s="165"/>
      <c r="H3" s="160"/>
      <c r="I3" s="160"/>
      <c r="J3" s="160"/>
      <c r="K3" s="160"/>
    </row>
    <row r="4" spans="1:11">
      <c r="A4" s="165"/>
      <c r="B4" s="166" t="s">
        <v>142</v>
      </c>
      <c r="C4" s="160"/>
      <c r="D4" s="160"/>
      <c r="E4" s="160"/>
      <c r="F4" s="160"/>
      <c r="G4" s="205"/>
      <c r="H4" s="183"/>
      <c r="I4" s="183"/>
      <c r="J4" s="183"/>
      <c r="K4" s="183"/>
    </row>
    <row r="5" spans="1:11">
      <c r="A5" s="165"/>
      <c r="B5" s="167" t="s">
        <v>175</v>
      </c>
      <c r="C5" s="168"/>
      <c r="D5" s="168"/>
      <c r="E5" s="239">
        <v>100</v>
      </c>
      <c r="F5" s="160"/>
      <c r="G5" s="206"/>
      <c r="H5" s="183"/>
      <c r="I5" s="183"/>
      <c r="J5" s="183"/>
      <c r="K5" s="183"/>
    </row>
    <row r="6" spans="1:11">
      <c r="A6" s="165"/>
      <c r="B6" s="167" t="s">
        <v>176</v>
      </c>
      <c r="C6" s="169"/>
      <c r="D6" s="169"/>
      <c r="E6" s="240">
        <v>100</v>
      </c>
      <c r="F6" s="170"/>
      <c r="G6" s="206"/>
      <c r="H6" s="183"/>
      <c r="I6" s="183"/>
      <c r="J6" s="183"/>
      <c r="K6" s="183"/>
    </row>
    <row r="7" spans="1:11">
      <c r="A7" s="160"/>
      <c r="B7" s="167" t="s">
        <v>177</v>
      </c>
      <c r="C7" s="169"/>
      <c r="D7" s="169"/>
      <c r="E7" s="241">
        <v>1</v>
      </c>
      <c r="F7" s="170"/>
      <c r="G7" s="206"/>
      <c r="H7" s="183"/>
      <c r="I7" s="183"/>
      <c r="J7" s="183"/>
      <c r="K7" s="183"/>
    </row>
    <row r="8" spans="1:11">
      <c r="A8" s="160"/>
      <c r="B8" s="167" t="s">
        <v>178</v>
      </c>
      <c r="C8" s="169"/>
      <c r="D8" s="169"/>
      <c r="E8" s="242">
        <v>0.04</v>
      </c>
      <c r="F8" s="165"/>
      <c r="G8" s="160"/>
      <c r="H8" s="160"/>
      <c r="I8" s="160"/>
      <c r="J8" s="160"/>
      <c r="K8" s="160"/>
    </row>
    <row r="9" spans="1:11">
      <c r="A9" s="160"/>
      <c r="B9" s="167" t="s">
        <v>179</v>
      </c>
      <c r="C9" s="169"/>
      <c r="D9" s="169"/>
      <c r="E9" s="243">
        <v>0.4</v>
      </c>
      <c r="F9" s="160"/>
      <c r="G9" s="160"/>
      <c r="H9" s="160"/>
      <c r="I9" s="160"/>
      <c r="J9" s="160"/>
      <c r="K9" s="160"/>
    </row>
    <row r="10" spans="1:11">
      <c r="A10" s="160"/>
      <c r="B10" s="171" t="s">
        <v>180</v>
      </c>
      <c r="C10" s="172"/>
      <c r="D10" s="172"/>
      <c r="E10" s="244">
        <v>0.01</v>
      </c>
      <c r="F10" s="160"/>
      <c r="G10" s="160"/>
      <c r="H10" s="160"/>
      <c r="I10" s="160"/>
      <c r="J10" s="160"/>
      <c r="K10" s="160"/>
    </row>
    <row r="12" spans="1:11">
      <c r="A12" s="160"/>
      <c r="B12" s="160"/>
      <c r="C12" s="160"/>
      <c r="D12" s="160"/>
      <c r="E12" s="160"/>
      <c r="F12" s="199"/>
      <c r="G12" s="160"/>
      <c r="H12" s="160"/>
      <c r="I12" s="218" t="s">
        <v>184</v>
      </c>
      <c r="J12" s="160"/>
      <c r="K12" s="160"/>
    </row>
    <row r="13" spans="1:11">
      <c r="A13" s="160"/>
      <c r="B13" s="207" t="s">
        <v>181</v>
      </c>
      <c r="C13" s="208" t="s">
        <v>182</v>
      </c>
      <c r="D13" s="160"/>
      <c r="E13" s="160"/>
      <c r="F13" s="160"/>
      <c r="G13" s="160"/>
      <c r="H13" s="160"/>
      <c r="I13" s="209" t="s">
        <v>183</v>
      </c>
      <c r="J13" s="210" t="s">
        <v>182</v>
      </c>
      <c r="K13" s="160"/>
    </row>
    <row r="14" spans="1:11">
      <c r="A14" s="165" t="s">
        <v>147</v>
      </c>
      <c r="B14" s="211">
        <v>10</v>
      </c>
      <c r="C14" s="212">
        <f>BS("c",B14,$E$6,$E$7,$E$8,$E$10,$E$9)</f>
        <v>1.3457542908829083E-8</v>
      </c>
      <c r="D14" s="160"/>
      <c r="E14" s="160"/>
      <c r="F14" s="160"/>
      <c r="G14" s="160"/>
      <c r="H14" s="160"/>
      <c r="I14" s="213">
        <v>2.5000000000000001E-2</v>
      </c>
      <c r="J14" s="214"/>
      <c r="K14" s="160"/>
    </row>
    <row r="15" spans="1:11">
      <c r="A15" s="160"/>
      <c r="B15" s="211">
        <v>15</v>
      </c>
      <c r="C15" s="212">
        <f t="shared" ref="C15:C62" si="0">BS("c",B15,$E$6,$E$7,$E$8,$E$10,$E$9)</f>
        <v>4.4700287081687636E-6</v>
      </c>
      <c r="D15" s="160"/>
      <c r="E15" s="160"/>
      <c r="F15" s="160"/>
      <c r="G15" s="160"/>
      <c r="H15" s="160"/>
      <c r="I15" s="213">
        <v>0.05</v>
      </c>
      <c r="J15" s="214"/>
      <c r="K15" s="160"/>
    </row>
    <row r="16" spans="1:11">
      <c r="A16" s="160"/>
      <c r="B16" s="211">
        <v>20</v>
      </c>
      <c r="C16" s="212">
        <f t="shared" si="0"/>
        <v>1.5355946885002854E-4</v>
      </c>
      <c r="D16" s="160"/>
      <c r="E16" s="160"/>
      <c r="F16" s="160"/>
      <c r="G16" s="160"/>
      <c r="H16" s="160"/>
      <c r="I16" s="213">
        <v>7.4999999999999997E-2</v>
      </c>
      <c r="J16" s="214"/>
      <c r="K16" s="160"/>
    </row>
    <row r="17" spans="2:10">
      <c r="B17" s="211">
        <v>25</v>
      </c>
      <c r="C17" s="212">
        <f t="shared" si="0"/>
        <v>1.7215564110050919E-3</v>
      </c>
      <c r="D17" s="160"/>
      <c r="E17" s="160"/>
      <c r="F17" s="160"/>
      <c r="G17" s="160"/>
      <c r="H17" s="160"/>
      <c r="I17" s="213">
        <v>0.1</v>
      </c>
      <c r="J17" s="214"/>
    </row>
    <row r="18" spans="2:10">
      <c r="B18" s="211">
        <v>30</v>
      </c>
      <c r="C18" s="212">
        <f t="shared" si="0"/>
        <v>1.0081565446958939E-2</v>
      </c>
      <c r="D18" s="160"/>
      <c r="E18" s="160"/>
      <c r="F18" s="160"/>
      <c r="G18" s="160"/>
      <c r="H18" s="160"/>
      <c r="I18" s="213">
        <v>0.125</v>
      </c>
      <c r="J18" s="214"/>
    </row>
    <row r="19" spans="2:10">
      <c r="B19" s="211">
        <v>35</v>
      </c>
      <c r="C19" s="212">
        <f t="shared" si="0"/>
        <v>3.8973248726833443E-2</v>
      </c>
      <c r="D19" s="160"/>
      <c r="E19" s="160"/>
      <c r="F19" s="160"/>
      <c r="G19" s="160"/>
      <c r="H19" s="160"/>
      <c r="I19" s="213">
        <v>0.15</v>
      </c>
      <c r="J19" s="214"/>
    </row>
    <row r="20" spans="2:10">
      <c r="B20" s="211">
        <v>40</v>
      </c>
      <c r="C20" s="212">
        <f t="shared" si="0"/>
        <v>0.11344486486045928</v>
      </c>
      <c r="D20" s="160"/>
      <c r="E20" s="160"/>
      <c r="F20" s="160"/>
      <c r="G20" s="160"/>
      <c r="H20" s="160"/>
      <c r="I20" s="213">
        <v>0.17499999999999999</v>
      </c>
      <c r="J20" s="214"/>
    </row>
    <row r="21" spans="2:10">
      <c r="B21" s="211">
        <v>45</v>
      </c>
      <c r="C21" s="212">
        <f t="shared" si="0"/>
        <v>0.26947227273372137</v>
      </c>
      <c r="D21" s="160"/>
      <c r="E21" s="160"/>
      <c r="F21" s="160"/>
      <c r="G21" s="160"/>
      <c r="H21" s="160"/>
      <c r="I21" s="213">
        <v>0.2</v>
      </c>
      <c r="J21" s="214"/>
    </row>
    <row r="22" spans="2:10">
      <c r="B22" s="211">
        <v>50</v>
      </c>
      <c r="C22" s="212">
        <f t="shared" si="0"/>
        <v>0.55037782068421104</v>
      </c>
      <c r="D22" s="160"/>
      <c r="E22" s="160"/>
      <c r="F22" s="160"/>
      <c r="G22" s="160"/>
      <c r="H22" s="160"/>
      <c r="I22" s="213">
        <v>0.22500000000000001</v>
      </c>
      <c r="J22" s="214"/>
    </row>
    <row r="23" spans="2:10">
      <c r="B23" s="211">
        <v>55</v>
      </c>
      <c r="C23" s="212">
        <f t="shared" si="0"/>
        <v>1.0016084183818144</v>
      </c>
      <c r="D23" s="160"/>
      <c r="E23" s="160"/>
      <c r="F23" s="160"/>
      <c r="G23" s="160"/>
      <c r="H23" s="160"/>
      <c r="I23" s="213">
        <v>0.25</v>
      </c>
      <c r="J23" s="214"/>
    </row>
    <row r="24" spans="2:10">
      <c r="B24" s="211">
        <v>60</v>
      </c>
      <c r="C24" s="212">
        <f t="shared" si="0"/>
        <v>1.6655941757818058</v>
      </c>
      <c r="D24" s="160"/>
      <c r="E24" s="160"/>
      <c r="F24" s="160"/>
      <c r="G24" s="160"/>
      <c r="H24" s="160"/>
      <c r="I24" s="213">
        <v>0.27500000000000002</v>
      </c>
      <c r="J24" s="214"/>
    </row>
    <row r="25" spans="2:10">
      <c r="B25" s="211">
        <v>65</v>
      </c>
      <c r="C25" s="212">
        <f t="shared" si="0"/>
        <v>2.5778230281038175</v>
      </c>
      <c r="D25" s="160"/>
      <c r="E25" s="160"/>
      <c r="F25" s="160"/>
      <c r="G25" s="160"/>
      <c r="H25" s="160"/>
      <c r="I25" s="213">
        <v>0.3</v>
      </c>
      <c r="J25" s="214"/>
    </row>
    <row r="26" spans="2:10">
      <c r="B26" s="211">
        <v>70</v>
      </c>
      <c r="C26" s="212">
        <f t="shared" si="0"/>
        <v>3.7645532249571372</v>
      </c>
      <c r="D26" s="160"/>
      <c r="E26" s="160"/>
      <c r="F26" s="160"/>
      <c r="G26" s="160"/>
      <c r="H26" s="160"/>
      <c r="I26" s="213">
        <v>0.32500000000000001</v>
      </c>
      <c r="J26" s="214"/>
    </row>
    <row r="27" spans="2:10">
      <c r="B27" s="211">
        <v>75</v>
      </c>
      <c r="C27" s="212">
        <f t="shared" si="0"/>
        <v>5.2420662814259069</v>
      </c>
      <c r="D27" s="160"/>
      <c r="E27" s="160"/>
      <c r="F27" s="160"/>
      <c r="G27" s="160"/>
      <c r="H27" s="160"/>
      <c r="I27" s="213">
        <v>0.35</v>
      </c>
      <c r="J27" s="214"/>
    </row>
    <row r="28" spans="2:10">
      <c r="B28" s="211">
        <v>80</v>
      </c>
      <c r="C28" s="212">
        <f t="shared" si="0"/>
        <v>7.0171005095269754</v>
      </c>
      <c r="D28" s="160"/>
      <c r="E28" s="199"/>
      <c r="F28" s="160"/>
      <c r="G28" s="160"/>
      <c r="H28" s="160"/>
      <c r="I28" s="213">
        <v>0.375</v>
      </c>
      <c r="J28" s="214"/>
    </row>
    <row r="29" spans="2:10">
      <c r="B29" s="211">
        <v>85</v>
      </c>
      <c r="C29" s="212">
        <f t="shared" si="0"/>
        <v>9.0880400961769094</v>
      </c>
      <c r="D29" s="160"/>
      <c r="E29" s="160"/>
      <c r="F29" s="160"/>
      <c r="G29" s="160"/>
      <c r="H29" s="160"/>
      <c r="I29" s="213">
        <v>0.4</v>
      </c>
      <c r="J29" s="214"/>
    </row>
    <row r="30" spans="2:10">
      <c r="B30" s="211">
        <v>90</v>
      </c>
      <c r="C30" s="212">
        <f t="shared" si="0"/>
        <v>11.44648231129973</v>
      </c>
      <c r="D30" s="160"/>
      <c r="E30" s="160"/>
      <c r="F30" s="160"/>
      <c r="G30" s="160"/>
      <c r="H30" s="160"/>
      <c r="I30" s="213">
        <v>0.42499999999999999</v>
      </c>
      <c r="J30" s="214"/>
    </row>
    <row r="31" spans="2:10">
      <c r="B31" s="211">
        <v>95</v>
      </c>
      <c r="C31" s="212">
        <f t="shared" si="0"/>
        <v>14.07889850348057</v>
      </c>
      <c r="D31" s="160"/>
      <c r="E31" s="160"/>
      <c r="F31" s="160"/>
      <c r="G31" s="160"/>
      <c r="H31" s="160"/>
      <c r="I31" s="213">
        <v>0.45</v>
      </c>
      <c r="J31" s="214"/>
    </row>
    <row r="32" spans="2:10">
      <c r="B32" s="211">
        <v>100</v>
      </c>
      <c r="C32" s="212">
        <f t="shared" si="0"/>
        <v>16.968201955742423</v>
      </c>
      <c r="D32" s="160"/>
      <c r="E32" s="160"/>
      <c r="F32" s="160"/>
      <c r="G32" s="160"/>
      <c r="H32" s="160"/>
      <c r="I32" s="213">
        <v>0.47499999999999998</v>
      </c>
      <c r="J32" s="214"/>
    </row>
    <row r="33" spans="2:10">
      <c r="B33" s="211">
        <v>105</v>
      </c>
      <c r="C33" s="212">
        <f t="shared" si="0"/>
        <v>20.095117706902176</v>
      </c>
      <c r="D33" s="160"/>
      <c r="E33" s="160"/>
      <c r="F33" s="160"/>
      <c r="G33" s="160"/>
      <c r="H33" s="160"/>
      <c r="I33" s="213">
        <v>0.5</v>
      </c>
      <c r="J33" s="214"/>
    </row>
    <row r="34" spans="2:10">
      <c r="B34" s="211">
        <v>110</v>
      </c>
      <c r="C34" s="212">
        <f t="shared" si="0"/>
        <v>23.4393099940675</v>
      </c>
      <c r="D34" s="160"/>
      <c r="E34" s="160"/>
      <c r="F34" s="160"/>
      <c r="G34" s="160"/>
      <c r="H34" s="160"/>
      <c r="I34" s="213">
        <v>0.52500000000000002</v>
      </c>
      <c r="J34" s="214"/>
    </row>
    <row r="35" spans="2:10">
      <c r="B35" s="211">
        <v>115</v>
      </c>
      <c r="C35" s="212">
        <f t="shared" si="0"/>
        <v>26.980263095255818</v>
      </c>
      <c r="D35" s="160"/>
      <c r="E35" s="160"/>
      <c r="F35" s="160"/>
      <c r="G35" s="160"/>
      <c r="H35" s="160"/>
      <c r="I35" s="213">
        <v>0.55000000000000004</v>
      </c>
      <c r="J35" s="214"/>
    </row>
    <row r="36" spans="2:10">
      <c r="B36" s="211">
        <v>120</v>
      </c>
      <c r="C36" s="212">
        <f t="shared" si="0"/>
        <v>30.697935022274134</v>
      </c>
      <c r="D36" s="160"/>
      <c r="E36" s="160"/>
      <c r="F36" s="160"/>
      <c r="G36" s="160"/>
      <c r="H36" s="160"/>
      <c r="I36" s="213">
        <v>0.57499999999999996</v>
      </c>
      <c r="J36" s="214"/>
    </row>
    <row r="37" spans="2:10">
      <c r="B37" s="211">
        <v>125</v>
      </c>
      <c r="C37" s="212">
        <f t="shared" si="0"/>
        <v>34.57321527152164</v>
      </c>
      <c r="D37" s="160"/>
      <c r="E37" s="160"/>
      <c r="F37" s="160"/>
      <c r="G37" s="160"/>
      <c r="H37" s="160"/>
      <c r="I37" s="213">
        <v>0.6</v>
      </c>
      <c r="J37" s="214"/>
    </row>
    <row r="38" spans="2:10">
      <c r="B38" s="211">
        <v>130</v>
      </c>
      <c r="C38" s="212">
        <f t="shared" si="0"/>
        <v>38.588221693957607</v>
      </c>
      <c r="D38" s="160"/>
      <c r="E38" s="160"/>
      <c r="F38" s="160"/>
      <c r="G38" s="160"/>
      <c r="H38" s="160"/>
      <c r="I38" s="213">
        <v>0.625</v>
      </c>
      <c r="J38" s="214"/>
    </row>
    <row r="39" spans="2:10">
      <c r="B39" s="211">
        <v>135</v>
      </c>
      <c r="C39" s="212">
        <f t="shared" si="0"/>
        <v>42.726470609988972</v>
      </c>
      <c r="D39" s="160"/>
      <c r="E39" s="160"/>
      <c r="F39" s="160"/>
      <c r="G39" s="160"/>
      <c r="H39" s="160"/>
      <c r="I39" s="213">
        <v>0.65</v>
      </c>
      <c r="J39" s="214"/>
    </row>
    <row r="40" spans="2:10">
      <c r="B40" s="211">
        <v>140</v>
      </c>
      <c r="C40" s="212">
        <f t="shared" si="0"/>
        <v>46.97295078898734</v>
      </c>
      <c r="D40" s="160"/>
      <c r="E40" s="160"/>
      <c r="F40" s="160"/>
      <c r="G40" s="160"/>
      <c r="H40" s="160"/>
      <c r="I40" s="213">
        <v>0.67500000000000004</v>
      </c>
      <c r="J40" s="214"/>
    </row>
    <row r="41" spans="2:10">
      <c r="B41" s="211">
        <v>145</v>
      </c>
      <c r="C41" s="212">
        <f t="shared" si="0"/>
        <v>51.31412730638344</v>
      </c>
      <c r="D41" s="160"/>
      <c r="E41" s="160"/>
      <c r="F41" s="160"/>
      <c r="G41" s="160"/>
      <c r="H41" s="160"/>
      <c r="I41" s="213">
        <v>0.7</v>
      </c>
      <c r="J41" s="214"/>
    </row>
    <row r="42" spans="2:10">
      <c r="B42" s="211">
        <v>150</v>
      </c>
      <c r="C42" s="212">
        <f t="shared" si="0"/>
        <v>55.737896488731245</v>
      </c>
      <c r="D42" s="160"/>
      <c r="E42" s="160"/>
      <c r="F42" s="160"/>
      <c r="G42" s="160"/>
      <c r="H42" s="160"/>
      <c r="I42" s="213">
        <v>0.72499999999999998</v>
      </c>
      <c r="J42" s="214"/>
    </row>
    <row r="43" spans="2:10">
      <c r="B43" s="211">
        <v>155</v>
      </c>
      <c r="C43" s="212">
        <f t="shared" si="0"/>
        <v>60.233508666914545</v>
      </c>
      <c r="D43" s="160"/>
      <c r="E43" s="160"/>
      <c r="F43" s="160"/>
      <c r="G43" s="160"/>
      <c r="H43" s="160"/>
      <c r="I43" s="213">
        <v>0.75</v>
      </c>
      <c r="J43" s="214"/>
    </row>
    <row r="44" spans="2:10">
      <c r="B44" s="211">
        <v>160</v>
      </c>
      <c r="C44" s="212">
        <f t="shared" si="0"/>
        <v>64.791471525624786</v>
      </c>
      <c r="D44" s="160"/>
      <c r="E44" s="160"/>
      <c r="F44" s="160"/>
      <c r="G44" s="160"/>
      <c r="H44" s="160"/>
      <c r="I44" s="213">
        <v>0.77500000000000002</v>
      </c>
      <c r="J44" s="214"/>
    </row>
    <row r="45" spans="2:10">
      <c r="B45" s="211">
        <v>165</v>
      </c>
      <c r="C45" s="212">
        <f t="shared" si="0"/>
        <v>69.403443546037224</v>
      </c>
      <c r="D45" s="160"/>
      <c r="E45" s="160"/>
      <c r="F45" s="160"/>
      <c r="G45" s="160"/>
      <c r="H45" s="160"/>
      <c r="I45" s="213">
        <v>0.8</v>
      </c>
      <c r="J45" s="214"/>
    </row>
    <row r="46" spans="2:10">
      <c r="B46" s="211">
        <v>170</v>
      </c>
      <c r="C46" s="212">
        <f t="shared" si="0"/>
        <v>74.062124376582176</v>
      </c>
      <c r="D46" s="160"/>
      <c r="E46" s="160"/>
      <c r="F46" s="160"/>
      <c r="G46" s="160"/>
      <c r="H46" s="160"/>
      <c r="I46" s="213">
        <v>0.82499999999999996</v>
      </c>
      <c r="J46" s="214"/>
    </row>
    <row r="47" spans="2:10">
      <c r="B47" s="211">
        <v>175</v>
      </c>
      <c r="C47" s="212">
        <f t="shared" si="0"/>
        <v>78.761146873216276</v>
      </c>
      <c r="D47" s="160"/>
      <c r="E47" s="160"/>
      <c r="F47" s="160"/>
      <c r="G47" s="160"/>
      <c r="H47" s="160"/>
      <c r="I47" s="213">
        <v>0.85</v>
      </c>
      <c r="J47" s="214"/>
    </row>
    <row r="48" spans="2:10">
      <c r="B48" s="211">
        <v>180</v>
      </c>
      <c r="C48" s="212">
        <f t="shared" si="0"/>
        <v>83.494973944500799</v>
      </c>
      <c r="D48" s="160"/>
      <c r="E48" s="160"/>
      <c r="F48" s="160"/>
      <c r="G48" s="160"/>
      <c r="H48" s="160"/>
      <c r="I48" s="213">
        <v>0.875</v>
      </c>
      <c r="J48" s="214"/>
    </row>
    <row r="49" spans="2:10">
      <c r="B49" s="211">
        <v>185</v>
      </c>
      <c r="C49" s="212">
        <f t="shared" si="0"/>
        <v>88.258802133204497</v>
      </c>
      <c r="D49" s="160"/>
      <c r="E49" s="160"/>
      <c r="F49" s="160"/>
      <c r="G49" s="160"/>
      <c r="H49" s="160"/>
      <c r="I49" s="215"/>
      <c r="J49" s="216"/>
    </row>
    <row r="50" spans="2:10">
      <c r="B50" s="211">
        <v>190</v>
      </c>
      <c r="C50" s="212">
        <f t="shared" si="0"/>
        <v>93.04847298555616</v>
      </c>
      <c r="D50" s="160"/>
      <c r="E50" s="160"/>
      <c r="F50" s="160"/>
      <c r="G50" s="160"/>
      <c r="H50" s="160"/>
      <c r="I50" s="215"/>
      <c r="J50" s="216"/>
    </row>
    <row r="51" spans="2:10">
      <c r="B51" s="211">
        <v>195</v>
      </c>
      <c r="C51" s="212">
        <f t="shared" si="0"/>
        <v>97.860392631824752</v>
      </c>
      <c r="D51" s="160"/>
      <c r="E51" s="160"/>
      <c r="F51" s="160"/>
      <c r="G51" s="160"/>
      <c r="H51" s="160"/>
      <c r="I51" s="215"/>
      <c r="J51" s="216"/>
    </row>
    <row r="52" spans="2:10">
      <c r="B52" s="211">
        <v>200</v>
      </c>
      <c r="C52" s="212">
        <f t="shared" si="0"/>
        <v>102.69145956879441</v>
      </c>
      <c r="D52" s="160"/>
      <c r="E52" s="160"/>
      <c r="F52" s="160"/>
      <c r="G52" s="160"/>
      <c r="H52" s="160"/>
      <c r="I52" s="215"/>
      <c r="J52" s="216"/>
    </row>
    <row r="53" spans="2:10">
      <c r="B53" s="211">
        <v>205</v>
      </c>
      <c r="C53" s="212">
        <f t="shared" si="0"/>
        <v>107.53900034793016</v>
      </c>
      <c r="D53" s="160"/>
      <c r="E53" s="160"/>
      <c r="F53" s="160"/>
      <c r="G53" s="160"/>
      <c r="H53" s="160"/>
      <c r="I53" s="215"/>
      <c r="J53" s="216"/>
    </row>
    <row r="54" spans="2:10">
      <c r="B54" s="211">
        <v>210</v>
      </c>
      <c r="C54" s="212">
        <f t="shared" si="0"/>
        <v>112.40071269436103</v>
      </c>
      <c r="D54" s="160"/>
      <c r="E54" s="160"/>
      <c r="F54" s="160"/>
      <c r="G54" s="160"/>
      <c r="H54" s="160"/>
      <c r="I54" s="215"/>
      <c r="J54" s="216"/>
    </row>
    <row r="55" spans="2:10">
      <c r="B55" s="211">
        <v>215</v>
      </c>
      <c r="C55" s="212">
        <f t="shared" si="0"/>
        <v>117.27461548138676</v>
      </c>
      <c r="D55" s="160"/>
      <c r="E55" s="160"/>
      <c r="F55" s="160"/>
      <c r="G55" s="160"/>
      <c r="H55" s="160"/>
      <c r="I55" s="215"/>
      <c r="J55" s="216"/>
    </row>
    <row r="56" spans="2:10">
      <c r="B56" s="211">
        <v>220</v>
      </c>
      <c r="C56" s="212">
        <f t="shared" si="0"/>
        <v>122.15900494012801</v>
      </c>
      <c r="D56" s="160"/>
      <c r="E56" s="160"/>
      <c r="F56" s="160"/>
      <c r="G56" s="160"/>
      <c r="H56" s="160"/>
      <c r="I56" s="215"/>
      <c r="J56" s="216"/>
    </row>
    <row r="57" spans="2:10">
      <c r="B57" s="211">
        <v>225</v>
      </c>
      <c r="C57" s="212">
        <f t="shared" si="0"/>
        <v>127.05241647689658</v>
      </c>
      <c r="D57" s="160"/>
      <c r="E57" s="160"/>
      <c r="F57" s="160"/>
      <c r="G57" s="160"/>
      <c r="H57" s="160"/>
      <c r="I57" s="215"/>
      <c r="J57" s="216"/>
    </row>
    <row r="58" spans="2:10">
      <c r="B58" s="211">
        <v>230</v>
      </c>
      <c r="C58" s="212">
        <f t="shared" si="0"/>
        <v>131.95359148900414</v>
      </c>
      <c r="D58" s="160"/>
      <c r="E58" s="160"/>
      <c r="F58" s="160"/>
      <c r="G58" s="160"/>
      <c r="H58" s="160"/>
      <c r="I58" s="215"/>
      <c r="J58" s="216"/>
    </row>
    <row r="59" spans="2:10">
      <c r="B59" s="211">
        <v>235</v>
      </c>
      <c r="C59" s="212">
        <f t="shared" si="0"/>
        <v>136.86144860365951</v>
      </c>
      <c r="D59" s="160"/>
      <c r="E59" s="160"/>
      <c r="F59" s="160"/>
      <c r="G59" s="160"/>
      <c r="H59" s="160"/>
      <c r="I59" s="215"/>
      <c r="J59" s="216"/>
    </row>
    <row r="60" spans="2:10">
      <c r="B60" s="211">
        <v>240</v>
      </c>
      <c r="C60" s="212">
        <f t="shared" si="0"/>
        <v>141.77505880757451</v>
      </c>
      <c r="D60" s="160"/>
      <c r="E60" s="160"/>
      <c r="F60" s="160"/>
      <c r="G60" s="160"/>
      <c r="H60" s="160"/>
      <c r="I60" s="215"/>
      <c r="J60" s="216"/>
    </row>
    <row r="61" spans="2:10">
      <c r="B61" s="211">
        <v>245</v>
      </c>
      <c r="C61" s="212">
        <f t="shared" si="0"/>
        <v>146.69362398216447</v>
      </c>
      <c r="D61" s="160"/>
      <c r="E61" s="160"/>
      <c r="F61" s="160"/>
      <c r="G61" s="160"/>
      <c r="H61" s="160"/>
      <c r="I61" s="215"/>
      <c r="J61" s="216"/>
    </row>
    <row r="62" spans="2:10">
      <c r="B62" s="217">
        <v>250</v>
      </c>
      <c r="C62" s="212">
        <f t="shared" si="0"/>
        <v>151.61645840753752</v>
      </c>
      <c r="D62" s="160"/>
      <c r="E62" s="160"/>
      <c r="F62" s="160"/>
      <c r="G62" s="160"/>
      <c r="H62" s="160"/>
      <c r="I62" s="215"/>
      <c r="J62" s="216"/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H62"/>
  <sheetViews>
    <sheetView workbookViewId="0">
      <selection activeCell="I19" sqref="I19"/>
    </sheetView>
  </sheetViews>
  <sheetFormatPr defaultColWidth="8.875" defaultRowHeight="16.5"/>
  <cols>
    <col min="6" max="6" width="16.125" customWidth="1"/>
    <col min="7" max="7" width="12.625" customWidth="1"/>
    <col min="8" max="8" width="15.125" customWidth="1"/>
  </cols>
  <sheetData>
    <row r="1" spans="1:8" ht="20.25">
      <c r="A1" s="159" t="s">
        <v>174</v>
      </c>
      <c r="B1" s="158"/>
      <c r="C1" s="157"/>
      <c r="D1" s="160"/>
      <c r="E1" s="160"/>
      <c r="F1" s="160"/>
      <c r="G1" s="160"/>
      <c r="H1" s="160"/>
    </row>
    <row r="2" spans="1:8">
      <c r="A2" s="162"/>
      <c r="B2" s="163"/>
      <c r="C2" s="163"/>
      <c r="D2" s="160"/>
      <c r="E2" s="160"/>
      <c r="F2" s="160"/>
      <c r="G2" s="160"/>
      <c r="H2" s="160"/>
    </row>
    <row r="3" spans="1:8">
      <c r="A3" s="162"/>
      <c r="B3" s="163"/>
      <c r="C3" s="163"/>
      <c r="D3" s="160"/>
      <c r="E3" s="160"/>
      <c r="F3" s="160"/>
      <c r="G3" s="160"/>
      <c r="H3" s="160"/>
    </row>
    <row r="4" spans="1:8">
      <c r="A4" s="165"/>
      <c r="B4" s="166" t="s">
        <v>142</v>
      </c>
      <c r="C4" s="160"/>
      <c r="D4" s="160"/>
      <c r="E4" s="160"/>
      <c r="F4" s="160"/>
      <c r="G4" s="183"/>
      <c r="H4" s="183"/>
    </row>
    <row r="5" spans="1:8">
      <c r="A5" s="165"/>
      <c r="B5" s="167" t="s">
        <v>175</v>
      </c>
      <c r="C5" s="168"/>
      <c r="D5" s="168"/>
      <c r="E5" s="233">
        <v>50</v>
      </c>
      <c r="F5" s="160"/>
      <c r="G5" s="183"/>
      <c r="H5" s="183"/>
    </row>
    <row r="6" spans="1:8">
      <c r="A6" s="165"/>
      <c r="B6" s="167" t="s">
        <v>176</v>
      </c>
      <c r="C6" s="169"/>
      <c r="D6" s="169"/>
      <c r="E6" s="234">
        <v>50</v>
      </c>
      <c r="F6" s="170"/>
      <c r="G6" s="183"/>
      <c r="H6" s="183"/>
    </row>
    <row r="7" spans="1:8">
      <c r="A7" s="160"/>
      <c r="B7" s="167" t="s">
        <v>177</v>
      </c>
      <c r="C7" s="169"/>
      <c r="D7" s="169"/>
      <c r="E7" s="235">
        <v>1</v>
      </c>
      <c r="F7" s="170"/>
      <c r="G7" s="183"/>
      <c r="H7" s="183"/>
    </row>
    <row r="8" spans="1:8">
      <c r="A8" s="160"/>
      <c r="B8" s="167" t="s">
        <v>178</v>
      </c>
      <c r="C8" s="169"/>
      <c r="D8" s="169"/>
      <c r="E8" s="236">
        <v>0.04</v>
      </c>
      <c r="F8" s="165"/>
      <c r="G8" s="160"/>
      <c r="H8" s="160"/>
    </row>
    <row r="9" spans="1:8">
      <c r="A9" s="160"/>
      <c r="B9" s="167" t="s">
        <v>179</v>
      </c>
      <c r="C9" s="169"/>
      <c r="D9" s="169"/>
      <c r="E9" s="237">
        <v>0.4</v>
      </c>
      <c r="F9" s="160"/>
      <c r="G9" s="160"/>
      <c r="H9" s="160"/>
    </row>
    <row r="10" spans="1:8">
      <c r="A10" s="160"/>
      <c r="B10" s="171" t="s">
        <v>180</v>
      </c>
      <c r="C10" s="172"/>
      <c r="D10" s="172"/>
      <c r="E10" s="238">
        <v>0.01</v>
      </c>
      <c r="F10" s="160"/>
      <c r="G10" s="160"/>
      <c r="H10" s="160"/>
    </row>
    <row r="12" spans="1:8">
      <c r="A12" s="160"/>
      <c r="B12" s="160"/>
      <c r="C12" s="160"/>
      <c r="D12" s="160"/>
      <c r="E12" s="160"/>
      <c r="F12" s="199"/>
      <c r="G12" s="219" t="s">
        <v>184</v>
      </c>
      <c r="H12" s="160"/>
    </row>
    <row r="13" spans="1:8">
      <c r="A13" s="160"/>
      <c r="B13" s="220"/>
      <c r="C13" s="220"/>
      <c r="D13" s="160"/>
      <c r="E13" s="160"/>
      <c r="F13" s="160"/>
      <c r="G13" s="209" t="s">
        <v>183</v>
      </c>
      <c r="H13" s="210" t="s">
        <v>182</v>
      </c>
    </row>
    <row r="14" spans="1:8">
      <c r="A14" s="165" t="s">
        <v>147</v>
      </c>
      <c r="B14" s="221"/>
      <c r="C14" s="222"/>
      <c r="D14" s="160"/>
      <c r="E14" s="160"/>
      <c r="F14" s="160"/>
      <c r="G14" s="213">
        <v>2.5000000000000001E-2</v>
      </c>
      <c r="H14" s="214">
        <f>BS("c",$E$5,$E$6,$E$7,$E$8,$E$10,G14)</f>
        <v>1.5314127250698439</v>
      </c>
    </row>
    <row r="15" spans="1:8">
      <c r="A15" s="160"/>
      <c r="B15" s="221"/>
      <c r="C15" s="222"/>
      <c r="D15" s="160"/>
      <c r="E15" s="160"/>
      <c r="F15" s="160"/>
      <c r="G15" s="213">
        <v>0.05</v>
      </c>
      <c r="H15" s="214">
        <f t="shared" ref="H15:H48" si="0">BS("c",$E$5,$E$6,$E$7,$E$8,$E$10,G15)</f>
        <v>1.8742209940482257</v>
      </c>
    </row>
    <row r="16" spans="1:8">
      <c r="A16" s="160"/>
      <c r="B16" s="221"/>
      <c r="C16" s="222"/>
      <c r="D16" s="160"/>
      <c r="E16" s="160"/>
      <c r="F16" s="160"/>
      <c r="G16" s="213">
        <v>7.4999999999999997E-2</v>
      </c>
      <c r="H16" s="214">
        <f t="shared" si="0"/>
        <v>2.3055455219439605</v>
      </c>
    </row>
    <row r="17" spans="2:8">
      <c r="B17" s="221"/>
      <c r="C17" s="222"/>
      <c r="D17" s="160"/>
      <c r="E17" s="160"/>
      <c r="F17" s="160"/>
      <c r="G17" s="213">
        <v>0.1</v>
      </c>
      <c r="H17" s="214">
        <f t="shared" si="0"/>
        <v>2.7631682726475875</v>
      </c>
    </row>
    <row r="18" spans="2:8">
      <c r="B18" s="221"/>
      <c r="C18" s="222"/>
      <c r="D18" s="160"/>
      <c r="E18" s="160"/>
      <c r="F18" s="160"/>
      <c r="G18" s="213">
        <v>0.125</v>
      </c>
      <c r="H18" s="214">
        <f t="shared" si="0"/>
        <v>3.2315959105571825</v>
      </c>
    </row>
    <row r="19" spans="2:8">
      <c r="B19" s="221"/>
      <c r="C19" s="222"/>
      <c r="D19" s="160"/>
      <c r="E19" s="160"/>
      <c r="F19" s="160"/>
      <c r="G19" s="213">
        <v>0.15</v>
      </c>
      <c r="H19" s="214">
        <f t="shared" si="0"/>
        <v>3.7053048639755759</v>
      </c>
    </row>
    <row r="20" spans="2:8">
      <c r="B20" s="221"/>
      <c r="C20" s="222"/>
      <c r="D20" s="160"/>
      <c r="E20" s="160"/>
      <c r="F20" s="160"/>
      <c r="G20" s="213">
        <v>0.17499999999999999</v>
      </c>
      <c r="H20" s="214">
        <f t="shared" si="0"/>
        <v>4.1818254434398447</v>
      </c>
    </row>
    <row r="21" spans="2:8">
      <c r="B21" s="221"/>
      <c r="C21" s="222"/>
      <c r="D21" s="160"/>
      <c r="E21" s="160"/>
      <c r="F21" s="160"/>
      <c r="G21" s="213">
        <v>0.2</v>
      </c>
      <c r="H21" s="214">
        <f t="shared" si="0"/>
        <v>4.6598692275987679</v>
      </c>
    </row>
    <row r="22" spans="2:8">
      <c r="B22" s="221"/>
      <c r="C22" s="222"/>
      <c r="D22" s="160"/>
      <c r="E22" s="160"/>
      <c r="F22" s="160"/>
      <c r="G22" s="213">
        <v>0.22500000000000001</v>
      </c>
      <c r="H22" s="214">
        <f t="shared" si="0"/>
        <v>5.1386818328057533</v>
      </c>
    </row>
    <row r="23" spans="2:8">
      <c r="B23" s="221"/>
      <c r="C23" s="222"/>
      <c r="D23" s="160"/>
      <c r="E23" s="160"/>
      <c r="F23" s="160"/>
      <c r="G23" s="213">
        <v>0.25</v>
      </c>
      <c r="H23" s="214">
        <f t="shared" si="0"/>
        <v>5.6177787970198185</v>
      </c>
    </row>
    <row r="24" spans="2:8">
      <c r="B24" s="221"/>
      <c r="C24" s="222"/>
      <c r="D24" s="160"/>
      <c r="E24" s="160"/>
      <c r="F24" s="160"/>
      <c r="G24" s="213">
        <v>0.27500000000000002</v>
      </c>
      <c r="H24" s="214">
        <f t="shared" si="0"/>
        <v>6.0968240455431593</v>
      </c>
    </row>
    <row r="25" spans="2:8">
      <c r="B25" s="221"/>
      <c r="C25" s="222"/>
      <c r="D25" s="160"/>
      <c r="E25" s="160"/>
      <c r="F25" s="160"/>
      <c r="G25" s="213">
        <v>0.3</v>
      </c>
      <c r="H25" s="214">
        <f t="shared" si="0"/>
        <v>6.5755686354804643</v>
      </c>
    </row>
    <row r="26" spans="2:8">
      <c r="B26" s="221"/>
      <c r="C26" s="222"/>
      <c r="D26" s="160"/>
      <c r="E26" s="160"/>
      <c r="F26" s="160"/>
      <c r="G26" s="213">
        <v>0.32500000000000001</v>
      </c>
      <c r="H26" s="214">
        <f t="shared" si="0"/>
        <v>7.0538175948178461</v>
      </c>
    </row>
    <row r="27" spans="2:8">
      <c r="B27" s="221"/>
      <c r="C27" s="222"/>
      <c r="D27" s="160"/>
      <c r="E27" s="160"/>
      <c r="F27" s="160"/>
      <c r="G27" s="213">
        <v>0.35</v>
      </c>
      <c r="H27" s="214">
        <f t="shared" si="0"/>
        <v>7.5314109066071362</v>
      </c>
    </row>
    <row r="28" spans="2:8">
      <c r="B28" s="221"/>
      <c r="C28" s="222"/>
      <c r="D28" s="160"/>
      <c r="E28" s="199"/>
      <c r="F28" s="160"/>
      <c r="G28" s="213">
        <v>0.375</v>
      </c>
      <c r="H28" s="214">
        <f t="shared" si="0"/>
        <v>8.0082120758090429</v>
      </c>
    </row>
    <row r="29" spans="2:8">
      <c r="B29" s="221"/>
      <c r="C29" s="222"/>
      <c r="D29" s="160"/>
      <c r="E29" s="160"/>
      <c r="F29" s="160"/>
      <c r="G29" s="213">
        <v>0.4</v>
      </c>
      <c r="H29" s="214">
        <f t="shared" si="0"/>
        <v>8.4841009778712113</v>
      </c>
    </row>
    <row r="30" spans="2:8">
      <c r="B30" s="221"/>
      <c r="C30" s="222"/>
      <c r="D30" s="160"/>
      <c r="E30" s="160"/>
      <c r="F30" s="160"/>
      <c r="G30" s="213">
        <v>0.42499999999999999</v>
      </c>
      <c r="H30" s="214">
        <f t="shared" si="0"/>
        <v>8.9589692334669184</v>
      </c>
    </row>
    <row r="31" spans="2:8">
      <c r="B31" s="221"/>
      <c r="C31" s="222"/>
      <c r="D31" s="160"/>
      <c r="E31" s="160"/>
      <c r="F31" s="160"/>
      <c r="G31" s="213">
        <v>0.45</v>
      </c>
      <c r="H31" s="214">
        <f t="shared" si="0"/>
        <v>9.4327171305624447</v>
      </c>
    </row>
    <row r="32" spans="2:8">
      <c r="B32" s="221"/>
      <c r="C32" s="222"/>
      <c r="D32" s="160"/>
      <c r="E32" s="160"/>
      <c r="F32" s="160"/>
      <c r="G32" s="213">
        <v>0.47499999999999998</v>
      </c>
      <c r="H32" s="214">
        <f t="shared" si="0"/>
        <v>9.9052515254853919</v>
      </c>
    </row>
    <row r="33" spans="2:8">
      <c r="B33" s="221"/>
      <c r="C33" s="222"/>
      <c r="D33" s="160"/>
      <c r="E33" s="160"/>
      <c r="F33" s="160"/>
      <c r="G33" s="213">
        <v>0.5</v>
      </c>
      <c r="H33" s="214">
        <f t="shared" si="0"/>
        <v>10.37648438119365</v>
      </c>
    </row>
    <row r="34" spans="2:8">
      <c r="B34" s="221"/>
      <c r="C34" s="222"/>
      <c r="D34" s="160"/>
      <c r="E34" s="160"/>
      <c r="F34" s="160"/>
      <c r="G34" s="213">
        <v>0.52500000000000002</v>
      </c>
      <c r="H34" s="214">
        <f t="shared" si="0"/>
        <v>10.84633173073968</v>
      </c>
    </row>
    <row r="35" spans="2:8">
      <c r="B35" s="221"/>
      <c r="C35" s="222"/>
      <c r="D35" s="160"/>
      <c r="E35" s="160"/>
      <c r="F35" s="160"/>
      <c r="G35" s="213">
        <v>0.55000000000000004</v>
      </c>
      <c r="H35" s="214">
        <f t="shared" si="0"/>
        <v>11.314712930793551</v>
      </c>
    </row>
    <row r="36" spans="2:8">
      <c r="B36" s="221"/>
      <c r="C36" s="222"/>
      <c r="D36" s="160"/>
      <c r="E36" s="160"/>
      <c r="F36" s="160"/>
      <c r="G36" s="213">
        <v>0.57499999999999996</v>
      </c>
      <c r="H36" s="214">
        <f t="shared" si="0"/>
        <v>11.781550116965716</v>
      </c>
    </row>
    <row r="37" spans="2:8">
      <c r="B37" s="221"/>
      <c r="C37" s="222"/>
      <c r="D37" s="160"/>
      <c r="E37" s="160"/>
      <c r="F37" s="160"/>
      <c r="G37" s="213">
        <v>0.6</v>
      </c>
      <c r="H37" s="214">
        <f t="shared" si="0"/>
        <v>12.246767802015869</v>
      </c>
    </row>
    <row r="38" spans="2:8">
      <c r="B38" s="221"/>
      <c r="C38" s="222"/>
      <c r="D38" s="160"/>
      <c r="E38" s="160"/>
      <c r="F38" s="160"/>
      <c r="G38" s="213">
        <v>0.625</v>
      </c>
      <c r="H38" s="214">
        <f t="shared" si="0"/>
        <v>12.710292576840393</v>
      </c>
    </row>
    <row r="39" spans="2:8">
      <c r="B39" s="221"/>
      <c r="C39" s="222"/>
      <c r="D39" s="160"/>
      <c r="E39" s="160"/>
      <c r="F39" s="160"/>
      <c r="G39" s="213">
        <v>0.65</v>
      </c>
      <c r="H39" s="214">
        <f t="shared" si="0"/>
        <v>13.172052886442328</v>
      </c>
    </row>
    <row r="40" spans="2:8">
      <c r="B40" s="221"/>
      <c r="C40" s="222"/>
      <c r="D40" s="160"/>
      <c r="E40" s="160"/>
      <c r="F40" s="160"/>
      <c r="G40" s="213">
        <v>0.67500000000000004</v>
      </c>
      <c r="H40" s="214">
        <f t="shared" si="0"/>
        <v>13.631978861303423</v>
      </c>
    </row>
    <row r="41" spans="2:8">
      <c r="B41" s="221"/>
      <c r="C41" s="222"/>
      <c r="D41" s="160"/>
      <c r="E41" s="160"/>
      <c r="F41" s="160"/>
      <c r="G41" s="213">
        <v>0.7</v>
      </c>
      <c r="H41" s="214">
        <f t="shared" si="0"/>
        <v>14.09000219015817</v>
      </c>
    </row>
    <row r="42" spans="2:8">
      <c r="B42" s="221"/>
      <c r="C42" s="222"/>
      <c r="D42" s="160"/>
      <c r="E42" s="160"/>
      <c r="F42" s="160"/>
      <c r="G42" s="213">
        <v>0.72499999999999998</v>
      </c>
      <c r="H42" s="214">
        <f t="shared" si="0"/>
        <v>14.546056024021359</v>
      </c>
    </row>
    <row r="43" spans="2:8">
      <c r="B43" s="221"/>
      <c r="C43" s="222"/>
      <c r="D43" s="160"/>
      <c r="E43" s="160"/>
      <c r="F43" s="160"/>
      <c r="G43" s="213">
        <v>0.75</v>
      </c>
      <c r="H43" s="214">
        <f t="shared" si="0"/>
        <v>15.000074904018657</v>
      </c>
    </row>
    <row r="44" spans="2:8">
      <c r="B44" s="221"/>
      <c r="C44" s="222"/>
      <c r="D44" s="160"/>
      <c r="E44" s="160"/>
      <c r="F44" s="160"/>
      <c r="G44" s="213">
        <v>0.77500000000000002</v>
      </c>
      <c r="H44" s="214">
        <f t="shared" si="0"/>
        <v>15.451994707486275</v>
      </c>
    </row>
    <row r="45" spans="2:8">
      <c r="B45" s="221"/>
      <c r="C45" s="222"/>
      <c r="D45" s="160"/>
      <c r="E45" s="160"/>
      <c r="F45" s="160"/>
      <c r="G45" s="213">
        <v>0.8</v>
      </c>
      <c r="H45" s="214">
        <f t="shared" si="0"/>
        <v>15.901752608183678</v>
      </c>
    </row>
    <row r="46" spans="2:8">
      <c r="B46" s="221"/>
      <c r="C46" s="222"/>
      <c r="D46" s="160"/>
      <c r="E46" s="160"/>
      <c r="F46" s="160"/>
      <c r="G46" s="213">
        <v>0.82499999999999996</v>
      </c>
      <c r="H46" s="214">
        <f t="shared" si="0"/>
        <v>16.349287047466547</v>
      </c>
    </row>
    <row r="47" spans="2:8">
      <c r="B47" s="221"/>
      <c r="C47" s="222"/>
      <c r="D47" s="160"/>
      <c r="E47" s="160"/>
      <c r="F47" s="160"/>
      <c r="G47" s="213">
        <v>0.85</v>
      </c>
      <c r="H47" s="214">
        <f t="shared" si="0"/>
        <v>16.794537714005259</v>
      </c>
    </row>
    <row r="48" spans="2:8">
      <c r="B48" s="221"/>
      <c r="C48" s="222"/>
      <c r="D48" s="160"/>
      <c r="E48" s="160"/>
      <c r="F48" s="160"/>
      <c r="G48" s="213">
        <v>0.875</v>
      </c>
      <c r="H48" s="214">
        <f t="shared" si="0"/>
        <v>17.237445530182647</v>
      </c>
    </row>
    <row r="49" spans="2:8">
      <c r="B49" s="221"/>
      <c r="C49" s="222"/>
      <c r="D49" s="160"/>
      <c r="E49" s="160"/>
      <c r="F49" s="160"/>
      <c r="G49" s="215"/>
      <c r="H49" s="216"/>
    </row>
    <row r="50" spans="2:8">
      <c r="B50" s="221"/>
      <c r="C50" s="222"/>
      <c r="D50" s="160"/>
      <c r="E50" s="160"/>
      <c r="F50" s="160"/>
      <c r="G50" s="215"/>
      <c r="H50" s="216"/>
    </row>
    <row r="51" spans="2:8">
      <c r="B51" s="221"/>
      <c r="C51" s="222"/>
      <c r="D51" s="160"/>
      <c r="E51" s="160"/>
      <c r="F51" s="160"/>
      <c r="G51" s="215"/>
      <c r="H51" s="216"/>
    </row>
    <row r="52" spans="2:8">
      <c r="B52" s="221"/>
      <c r="C52" s="222"/>
      <c r="D52" s="160"/>
      <c r="E52" s="160"/>
      <c r="F52" s="160"/>
      <c r="G52" s="215"/>
      <c r="H52" s="216"/>
    </row>
    <row r="53" spans="2:8">
      <c r="B53" s="221"/>
      <c r="C53" s="222"/>
      <c r="D53" s="160"/>
      <c r="E53" s="160"/>
      <c r="F53" s="160"/>
      <c r="G53" s="215"/>
      <c r="H53" s="216"/>
    </row>
    <row r="54" spans="2:8">
      <c r="B54" s="221"/>
      <c r="C54" s="222"/>
      <c r="D54" s="160"/>
      <c r="E54" s="160"/>
      <c r="F54" s="160"/>
      <c r="G54" s="215"/>
      <c r="H54" s="216"/>
    </row>
    <row r="55" spans="2:8">
      <c r="B55" s="221"/>
      <c r="C55" s="222"/>
      <c r="D55" s="160"/>
      <c r="E55" s="160"/>
      <c r="F55" s="160"/>
      <c r="G55" s="215"/>
      <c r="H55" s="216"/>
    </row>
    <row r="56" spans="2:8">
      <c r="B56" s="221"/>
      <c r="C56" s="222"/>
      <c r="D56" s="160"/>
      <c r="E56" s="160"/>
      <c r="F56" s="160"/>
      <c r="G56" s="215"/>
      <c r="H56" s="216"/>
    </row>
    <row r="57" spans="2:8">
      <c r="B57" s="221"/>
      <c r="C57" s="222"/>
      <c r="D57" s="160"/>
      <c r="E57" s="160"/>
      <c r="F57" s="160"/>
      <c r="G57" s="215"/>
      <c r="H57" s="216"/>
    </row>
    <row r="58" spans="2:8">
      <c r="B58" s="221"/>
      <c r="C58" s="222"/>
      <c r="D58" s="160"/>
      <c r="E58" s="160"/>
      <c r="F58" s="160"/>
      <c r="G58" s="215"/>
      <c r="H58" s="216"/>
    </row>
    <row r="59" spans="2:8">
      <c r="B59" s="221"/>
      <c r="C59" s="222"/>
      <c r="D59" s="160"/>
      <c r="E59" s="160"/>
      <c r="F59" s="160"/>
      <c r="G59" s="215"/>
      <c r="H59" s="216"/>
    </row>
    <row r="60" spans="2:8">
      <c r="B60" s="221"/>
      <c r="C60" s="222"/>
      <c r="D60" s="160"/>
      <c r="E60" s="160"/>
      <c r="F60" s="160"/>
      <c r="G60" s="215"/>
      <c r="H60" s="216"/>
    </row>
    <row r="61" spans="2:8">
      <c r="B61" s="221"/>
      <c r="C61" s="222"/>
      <c r="D61" s="160"/>
      <c r="E61" s="160"/>
      <c r="F61" s="160"/>
      <c r="G61" s="215"/>
      <c r="H61" s="216"/>
    </row>
    <row r="62" spans="2:8">
      <c r="B62" s="221"/>
      <c r="C62" s="222"/>
      <c r="D62" s="160"/>
      <c r="E62" s="160"/>
      <c r="F62" s="160"/>
      <c r="G62" s="215"/>
      <c r="H62" s="216"/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L76"/>
  <sheetViews>
    <sheetView topLeftCell="A40" workbookViewId="0">
      <selection activeCell="C16" sqref="C16"/>
    </sheetView>
  </sheetViews>
  <sheetFormatPr defaultColWidth="8.875" defaultRowHeight="16.5"/>
  <cols>
    <col min="2" max="2" width="10.5" customWidth="1"/>
    <col min="3" max="3" width="9.125" bestFit="1" customWidth="1"/>
    <col min="5" max="5" width="9.5" bestFit="1" customWidth="1"/>
    <col min="6" max="6" width="10.625" customWidth="1"/>
    <col min="8" max="8" width="12.125" customWidth="1"/>
    <col min="12" max="12" width="25.625" customWidth="1"/>
  </cols>
  <sheetData>
    <row r="1" spans="1:12" ht="20.25">
      <c r="A1" s="70" t="s">
        <v>57</v>
      </c>
      <c r="B1" s="71"/>
      <c r="C1" s="71"/>
      <c r="D1" s="72"/>
    </row>
    <row r="3" spans="1:12">
      <c r="B3" s="6"/>
      <c r="C3" s="6"/>
      <c r="H3" s="43"/>
      <c r="I3" s="44"/>
      <c r="J3" s="44"/>
      <c r="K3" s="44"/>
      <c r="L3" s="44"/>
    </row>
    <row r="4" spans="1:12" ht="18.75">
      <c r="B4" s="81" t="s">
        <v>58</v>
      </c>
      <c r="C4" s="79"/>
      <c r="D4" s="79"/>
      <c r="E4" s="87" t="s">
        <v>59</v>
      </c>
      <c r="F4" t="s">
        <v>88</v>
      </c>
      <c r="H4" s="45"/>
      <c r="I4" s="44"/>
      <c r="J4" s="44"/>
      <c r="K4" s="44"/>
      <c r="L4" s="44"/>
    </row>
    <row r="5" spans="1:12">
      <c r="B5" s="80" t="s">
        <v>38</v>
      </c>
      <c r="C5" s="79"/>
      <c r="D5" s="79"/>
      <c r="E5" s="73">
        <v>100</v>
      </c>
      <c r="H5" s="45"/>
      <c r="I5" s="44"/>
      <c r="J5" s="44"/>
      <c r="K5" s="44"/>
      <c r="L5" s="44"/>
    </row>
    <row r="6" spans="1:12">
      <c r="B6" s="80" t="s">
        <v>39</v>
      </c>
      <c r="C6" s="79"/>
      <c r="D6" s="79"/>
      <c r="E6" s="74">
        <v>100</v>
      </c>
      <c r="F6" s="23"/>
      <c r="H6" s="45"/>
      <c r="I6" s="44"/>
      <c r="J6" s="44"/>
      <c r="K6" s="44"/>
      <c r="L6" s="44"/>
    </row>
    <row r="7" spans="1:12">
      <c r="B7" s="80" t="s">
        <v>40</v>
      </c>
      <c r="C7" s="79"/>
      <c r="D7" s="79"/>
      <c r="E7" s="75">
        <v>1</v>
      </c>
      <c r="F7" s="23"/>
    </row>
    <row r="8" spans="1:12">
      <c r="B8" s="80" t="s">
        <v>10</v>
      </c>
      <c r="C8" s="79"/>
      <c r="D8" s="79"/>
      <c r="E8" s="76">
        <v>0.03</v>
      </c>
      <c r="F8" s="1"/>
    </row>
    <row r="9" spans="1:12">
      <c r="B9" s="99"/>
      <c r="C9" s="61"/>
      <c r="D9" s="61"/>
      <c r="E9" s="103"/>
      <c r="F9" s="1"/>
    </row>
    <row r="10" spans="1:12">
      <c r="B10" s="80" t="s">
        <v>41</v>
      </c>
      <c r="C10" s="79"/>
      <c r="D10" s="79"/>
      <c r="E10" s="77">
        <v>0.25</v>
      </c>
    </row>
    <row r="12" spans="1:12">
      <c r="B12" s="78" t="s">
        <v>69</v>
      </c>
      <c r="C12" s="79"/>
      <c r="D12" s="79"/>
      <c r="E12" s="79"/>
      <c r="F12" s="79"/>
      <c r="G12" s="53"/>
    </row>
    <row r="13" spans="1:12" s="82" customFormat="1">
      <c r="B13" s="83"/>
      <c r="C13" s="84"/>
      <c r="D13" s="84"/>
      <c r="E13" s="84"/>
      <c r="F13" s="84"/>
    </row>
    <row r="14" spans="1:12" s="82" customFormat="1">
      <c r="B14" s="85" t="s">
        <v>61</v>
      </c>
      <c r="C14" s="86">
        <f>BSDelta2("c",E5,E6,E7,E8,E10)</f>
        <v>0.59677178432052447</v>
      </c>
      <c r="D14" s="84"/>
      <c r="E14" s="84"/>
      <c r="F14" s="84"/>
    </row>
    <row r="15" spans="1:12" s="82" customFormat="1">
      <c r="B15" s="85" t="s">
        <v>60</v>
      </c>
      <c r="C15" s="86">
        <f>BSDelta2("p",E5,E6,E7,E8,E10)</f>
        <v>-0.40322821567947559</v>
      </c>
      <c r="D15" s="84"/>
      <c r="E15" s="84"/>
      <c r="F15" s="84"/>
    </row>
    <row r="17" spans="1:3">
      <c r="A17" t="s">
        <v>9</v>
      </c>
    </row>
    <row r="18" spans="1:3">
      <c r="A18" t="s">
        <v>62</v>
      </c>
    </row>
    <row r="19" spans="1:3">
      <c r="A19" t="s">
        <v>63</v>
      </c>
    </row>
    <row r="20" spans="1:3">
      <c r="A20" t="s">
        <v>45</v>
      </c>
    </row>
    <row r="21" spans="1:3">
      <c r="A21" t="s">
        <v>21</v>
      </c>
    </row>
    <row r="22" spans="1:3">
      <c r="A22" t="s">
        <v>13</v>
      </c>
    </row>
    <row r="23" spans="1:3">
      <c r="A23" t="s">
        <v>21</v>
      </c>
    </row>
    <row r="24" spans="1:3">
      <c r="A24" t="s">
        <v>64</v>
      </c>
    </row>
    <row r="25" spans="1:3">
      <c r="A25" t="s">
        <v>65</v>
      </c>
    </row>
    <row r="26" spans="1:3">
      <c r="A26" t="s">
        <v>66</v>
      </c>
    </row>
    <row r="27" spans="1:3">
      <c r="A27" t="s">
        <v>67</v>
      </c>
    </row>
    <row r="28" spans="1:3">
      <c r="A28" t="s">
        <v>68</v>
      </c>
    </row>
    <row r="29" spans="1:3">
      <c r="A29" t="s">
        <v>15</v>
      </c>
    </row>
    <row r="30" spans="1:3">
      <c r="A30" t="s">
        <v>9</v>
      </c>
    </row>
    <row r="32" spans="1:3" ht="20.25">
      <c r="A32" s="70" t="s">
        <v>70</v>
      </c>
      <c r="B32" s="50"/>
      <c r="C32" s="50"/>
    </row>
    <row r="34" spans="1:5">
      <c r="A34" s="37" t="s">
        <v>71</v>
      </c>
    </row>
    <row r="36" spans="1:5">
      <c r="A36" s="81" t="s">
        <v>58</v>
      </c>
      <c r="B36" s="79"/>
      <c r="C36" s="79"/>
      <c r="D36" s="118" t="s">
        <v>59</v>
      </c>
      <c r="E36" t="s">
        <v>88</v>
      </c>
    </row>
    <row r="37" spans="1:5">
      <c r="A37" s="58" t="s">
        <v>38</v>
      </c>
      <c r="B37" s="59"/>
      <c r="C37" s="59"/>
      <c r="D37" s="88">
        <v>100</v>
      </c>
    </row>
    <row r="38" spans="1:5">
      <c r="A38" s="58" t="s">
        <v>39</v>
      </c>
      <c r="B38" s="61"/>
      <c r="C38" s="61"/>
      <c r="D38" s="89">
        <v>100</v>
      </c>
    </row>
    <row r="39" spans="1:5">
      <c r="A39" s="58" t="s">
        <v>40</v>
      </c>
      <c r="B39" s="61"/>
      <c r="C39" s="61"/>
      <c r="D39" s="90">
        <v>1</v>
      </c>
    </row>
    <row r="40" spans="1:5">
      <c r="A40" s="58" t="s">
        <v>10</v>
      </c>
      <c r="B40" s="61"/>
      <c r="C40" s="61"/>
      <c r="D40" s="91">
        <v>0.03</v>
      </c>
    </row>
    <row r="41" spans="1:5">
      <c r="A41" s="58" t="s">
        <v>75</v>
      </c>
      <c r="B41" s="61"/>
      <c r="C41" s="61"/>
      <c r="D41" s="91">
        <v>0.05</v>
      </c>
    </row>
    <row r="42" spans="1:5">
      <c r="A42" s="58" t="s">
        <v>41</v>
      </c>
      <c r="B42" s="61"/>
      <c r="C42" s="61"/>
      <c r="D42" s="92">
        <v>0.25</v>
      </c>
    </row>
    <row r="44" spans="1:5">
      <c r="B44" s="85" t="s">
        <v>61</v>
      </c>
      <c r="C44" s="93">
        <v>0.49270000000000003</v>
      </c>
    </row>
    <row r="45" spans="1:5">
      <c r="B45" s="85" t="s">
        <v>60</v>
      </c>
      <c r="C45" s="93">
        <v>-0.45850000000000002</v>
      </c>
    </row>
    <row r="47" spans="1:5">
      <c r="A47" s="55" t="s">
        <v>27</v>
      </c>
      <c r="B47" s="45"/>
    </row>
    <row r="60" spans="1:1">
      <c r="A60" t="s">
        <v>9</v>
      </c>
    </row>
    <row r="61" spans="1:1">
      <c r="A61" t="s">
        <v>72</v>
      </c>
    </row>
    <row r="62" spans="1:1">
      <c r="A62" t="s">
        <v>63</v>
      </c>
    </row>
    <row r="63" spans="1:1">
      <c r="A63" t="s">
        <v>45</v>
      </c>
    </row>
    <row r="64" spans="1:1">
      <c r="A64" t="s">
        <v>21</v>
      </c>
    </row>
    <row r="65" spans="1:1">
      <c r="A65" t="s">
        <v>36</v>
      </c>
    </row>
    <row r="66" spans="1:1">
      <c r="A66" t="s">
        <v>21</v>
      </c>
    </row>
    <row r="67" spans="1:1">
      <c r="A67" t="s">
        <v>64</v>
      </c>
    </row>
    <row r="68" spans="1:1">
      <c r="A68" t="s">
        <v>73</v>
      </c>
    </row>
    <row r="69" spans="1:1">
      <c r="A69" t="s">
        <v>66</v>
      </c>
    </row>
    <row r="70" spans="1:1">
      <c r="A70" t="s">
        <v>74</v>
      </c>
    </row>
    <row r="71" spans="1:1">
      <c r="A71" t="s">
        <v>68</v>
      </c>
    </row>
    <row r="72" spans="1:1">
      <c r="A72" t="s">
        <v>15</v>
      </c>
    </row>
    <row r="73" spans="1:1">
      <c r="A73" t="s">
        <v>9</v>
      </c>
    </row>
    <row r="76" spans="1:1" ht="18.75">
      <c r="A76" s="94"/>
    </row>
  </sheetData>
  <pageMargins left="0.7" right="0.7" top="0.75" bottom="0.75" header="0.3" footer="0.3"/>
  <pageSetup orientation="portrait"/>
  <drawing r:id="rId1"/>
  <legacyDrawing r:id="rId2"/>
  <oleObjects>
    <mc:AlternateContent xmlns:mc="http://schemas.openxmlformats.org/markup-compatibility/2006">
      <mc:Choice Requires="x14">
        <oleObject progId="Equation.3" shapeId="50177" r:id="rId3">
          <objectPr defaultSize="0" autoPict="0" r:id="rId4">
            <anchor moveWithCells="1" sizeWithCells="1">
              <from>
                <xdr:col>5</xdr:col>
                <xdr:colOff>28575</xdr:colOff>
                <xdr:row>4</xdr:row>
                <xdr:rowOff>28575</xdr:rowOff>
              </from>
              <to>
                <xdr:col>11</xdr:col>
                <xdr:colOff>1000125</xdr:colOff>
                <xdr:row>10</xdr:row>
                <xdr:rowOff>161925</xdr:rowOff>
              </to>
            </anchor>
          </objectPr>
        </oleObject>
      </mc:Choice>
      <mc:Fallback>
        <oleObject progId="Equation.3" shapeId="50177" r:id="rId3"/>
      </mc:Fallback>
    </mc:AlternateContent>
    <mc:AlternateContent xmlns:mc="http://schemas.openxmlformats.org/markup-compatibility/2006">
      <mc:Choice Requires="x14">
        <oleObject progId="Equation.3" shapeId="50178" r:id="rId5">
          <objectPr defaultSize="0" autoPict="0" r:id="rId6">
            <anchor moveWithCells="1" sizeWithCells="1">
              <from>
                <xdr:col>4</xdr:col>
                <xdr:colOff>257175</xdr:colOff>
                <xdr:row>36</xdr:row>
                <xdr:rowOff>28575</xdr:rowOff>
              </from>
              <to>
                <xdr:col>11</xdr:col>
                <xdr:colOff>561975</xdr:colOff>
                <xdr:row>43</xdr:row>
                <xdr:rowOff>142875</xdr:rowOff>
              </to>
            </anchor>
          </objectPr>
        </oleObject>
      </mc:Choice>
      <mc:Fallback>
        <oleObject progId="Equation.3" shapeId="50178" r:id="rId5"/>
      </mc:Fallback>
    </mc:AlternateContent>
  </oleObjects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L80"/>
  <sheetViews>
    <sheetView topLeftCell="A49" workbookViewId="0">
      <selection activeCell="A65" sqref="A65:XFD78"/>
    </sheetView>
  </sheetViews>
  <sheetFormatPr defaultColWidth="8.875" defaultRowHeight="16.5"/>
  <cols>
    <col min="5" max="5" width="9.5" bestFit="1" customWidth="1"/>
    <col min="8" max="8" width="12.125" customWidth="1"/>
    <col min="12" max="12" width="25.625" customWidth="1"/>
  </cols>
  <sheetData>
    <row r="1" spans="1:12" ht="21">
      <c r="A1" s="95" t="s">
        <v>77</v>
      </c>
      <c r="B1" s="96"/>
      <c r="C1" s="96"/>
      <c r="D1" s="97"/>
      <c r="E1" s="98"/>
      <c r="F1" s="98"/>
      <c r="G1" s="98"/>
      <c r="H1" s="98"/>
      <c r="I1" s="98"/>
    </row>
    <row r="3" spans="1:12">
      <c r="B3" s="108" t="s">
        <v>104</v>
      </c>
      <c r="C3" s="109"/>
      <c r="D3" s="109"/>
      <c r="E3" s="109"/>
      <c r="F3" s="110"/>
      <c r="G3" s="50"/>
      <c r="H3" s="50"/>
      <c r="I3" s="50"/>
    </row>
    <row r="4" spans="1:12">
      <c r="B4" s="108" t="s">
        <v>6</v>
      </c>
      <c r="C4" s="72"/>
      <c r="D4" s="72"/>
      <c r="E4" s="72"/>
      <c r="F4" s="111"/>
      <c r="G4" s="50"/>
      <c r="H4" s="50"/>
      <c r="I4" s="50"/>
    </row>
    <row r="5" spans="1:12">
      <c r="B5" s="112" t="s">
        <v>25</v>
      </c>
      <c r="C5" s="49"/>
      <c r="D5" s="49"/>
      <c r="E5" s="49"/>
      <c r="F5" s="113"/>
      <c r="G5" s="50"/>
      <c r="H5" s="50"/>
      <c r="I5" s="50"/>
    </row>
    <row r="6" spans="1:12">
      <c r="B6" s="6"/>
      <c r="C6" s="6"/>
      <c r="H6" s="43"/>
      <c r="I6" s="44"/>
      <c r="J6" s="44"/>
      <c r="K6" s="44"/>
      <c r="L6" s="44"/>
    </row>
    <row r="7" spans="1:12">
      <c r="B7" s="135" t="s">
        <v>58</v>
      </c>
      <c r="C7" s="79"/>
      <c r="D7" s="79"/>
      <c r="E7" s="118" t="s">
        <v>59</v>
      </c>
      <c r="F7" t="s">
        <v>88</v>
      </c>
      <c r="H7" s="43"/>
      <c r="I7" s="2"/>
      <c r="J7" s="2"/>
      <c r="K7" s="2"/>
      <c r="L7" s="2"/>
    </row>
    <row r="8" spans="1:12">
      <c r="B8" s="58" t="s">
        <v>38</v>
      </c>
      <c r="C8" s="59"/>
      <c r="D8" s="59"/>
      <c r="E8" s="88">
        <v>100</v>
      </c>
    </row>
    <row r="9" spans="1:12">
      <c r="B9" s="58" t="s">
        <v>39</v>
      </c>
      <c r="C9" s="61"/>
      <c r="D9" s="61"/>
      <c r="E9" s="89">
        <v>100</v>
      </c>
      <c r="F9" s="23"/>
    </row>
    <row r="10" spans="1:12">
      <c r="B10" s="58" t="s">
        <v>40</v>
      </c>
      <c r="C10" s="61"/>
      <c r="D10" s="61"/>
      <c r="E10" s="90">
        <v>1</v>
      </c>
      <c r="F10" s="23"/>
    </row>
    <row r="11" spans="1:12">
      <c r="B11" s="58" t="s">
        <v>10</v>
      </c>
      <c r="C11" s="61"/>
      <c r="D11" s="61"/>
      <c r="E11" s="91">
        <v>0.03</v>
      </c>
      <c r="F11" s="1"/>
    </row>
    <row r="12" spans="1:12">
      <c r="B12" s="58" t="s">
        <v>75</v>
      </c>
      <c r="C12" s="61"/>
      <c r="D12" s="61"/>
      <c r="E12" s="91">
        <v>0.05</v>
      </c>
      <c r="H12" s="43"/>
      <c r="I12" s="44"/>
      <c r="J12" s="44"/>
      <c r="K12" s="44"/>
      <c r="L12" s="44"/>
    </row>
    <row r="13" spans="1:12">
      <c r="B13" s="58" t="s">
        <v>41</v>
      </c>
      <c r="C13" s="61"/>
      <c r="D13" s="61"/>
      <c r="E13" s="92">
        <v>0.25</v>
      </c>
      <c r="H13" s="45"/>
      <c r="I13" s="44"/>
      <c r="J13" s="44"/>
      <c r="K13" s="44"/>
      <c r="L13" s="44"/>
    </row>
    <row r="14" spans="1:12">
      <c r="B14" s="80" t="s">
        <v>102</v>
      </c>
      <c r="C14" s="53"/>
      <c r="D14" s="53"/>
      <c r="E14" s="114" t="s">
        <v>22</v>
      </c>
      <c r="F14" t="s">
        <v>87</v>
      </c>
      <c r="H14" s="45"/>
      <c r="I14" s="44"/>
      <c r="J14" s="44"/>
      <c r="K14" s="44"/>
      <c r="L14" s="44"/>
    </row>
    <row r="15" spans="1:12">
      <c r="E15" s="119"/>
      <c r="F15" s="29"/>
      <c r="H15" s="45"/>
      <c r="I15" s="44"/>
      <c r="J15" s="44"/>
      <c r="K15" s="44"/>
      <c r="L15" s="44"/>
    </row>
    <row r="16" spans="1:12">
      <c r="E16" s="119"/>
    </row>
    <row r="17" spans="1:6">
      <c r="E17" s="119"/>
    </row>
    <row r="18" spans="1:6">
      <c r="B18" s="115" t="s">
        <v>1</v>
      </c>
      <c r="C18" s="40"/>
      <c r="D18" s="40"/>
      <c r="E18" s="120"/>
    </row>
    <row r="19" spans="1:6">
      <c r="B19" s="116" t="s">
        <v>2</v>
      </c>
      <c r="C19" s="117"/>
      <c r="D19" s="117"/>
      <c r="E19" s="121">
        <f>SuperBS("c", E8,E9,E10,E11,E12,E13, "Price")</f>
        <v>8.6276740295600174</v>
      </c>
      <c r="F19" s="245"/>
    </row>
    <row r="20" spans="1:6">
      <c r="B20" s="116" t="s">
        <v>3</v>
      </c>
      <c r="C20" s="117"/>
      <c r="D20" s="117"/>
      <c r="E20" s="121">
        <f>SuperBS("p",E8,E9,E10,E11,E12,E13,"Price")</f>
        <v>10.549284934339425</v>
      </c>
      <c r="F20" s="245"/>
    </row>
    <row r="21" spans="1:6">
      <c r="B21" s="116" t="s">
        <v>4</v>
      </c>
      <c r="C21" s="117"/>
      <c r="D21" s="117"/>
      <c r="E21" s="121">
        <f>SuperBS("c", E8,E9,E10,E11,E12,E13, "Delta")</f>
        <v>0.4926858041732724</v>
      </c>
      <c r="F21" s="245"/>
    </row>
    <row r="22" spans="1:6">
      <c r="B22" s="116" t="s">
        <v>101</v>
      </c>
      <c r="C22" s="117"/>
      <c r="D22" s="117"/>
      <c r="E22" s="121">
        <f>SuperBS("p",E8,E9,E10,E11,E12,E13,"Delta")</f>
        <v>-0.45854362032744167</v>
      </c>
      <c r="F22" s="245"/>
    </row>
    <row r="24" spans="1:6">
      <c r="B24" s="107"/>
    </row>
    <row r="25" spans="1:6">
      <c r="A25" t="s">
        <v>9</v>
      </c>
    </row>
    <row r="26" spans="1:6">
      <c r="A26" t="s">
        <v>81</v>
      </c>
    </row>
    <row r="27" spans="1:6">
      <c r="A27" t="s">
        <v>21</v>
      </c>
    </row>
    <row r="28" spans="1:6">
      <c r="A28" t="s">
        <v>82</v>
      </c>
    </row>
    <row r="29" spans="1:6">
      <c r="A29" t="s">
        <v>83</v>
      </c>
    </row>
    <row r="30" spans="1:6">
      <c r="A30" t="s">
        <v>84</v>
      </c>
    </row>
    <row r="32" spans="1:6">
      <c r="A32" t="s">
        <v>15</v>
      </c>
    </row>
    <row r="35" spans="1:1">
      <c r="A35" t="s">
        <v>234</v>
      </c>
    </row>
    <row r="36" spans="1:1">
      <c r="A36" t="s">
        <v>89</v>
      </c>
    </row>
    <row r="37" spans="1:1">
      <c r="A37" t="s">
        <v>63</v>
      </c>
    </row>
    <row r="38" spans="1:1">
      <c r="A38" t="s">
        <v>45</v>
      </c>
    </row>
    <row r="39" spans="1:1">
      <c r="A39" t="s">
        <v>21</v>
      </c>
    </row>
    <row r="40" spans="1:1">
      <c r="A40" t="s">
        <v>36</v>
      </c>
    </row>
    <row r="41" spans="1:1">
      <c r="A41" t="s">
        <v>14</v>
      </c>
    </row>
    <row r="42" spans="1:1">
      <c r="A42" t="s">
        <v>64</v>
      </c>
    </row>
    <row r="43" spans="1:1">
      <c r="A43" t="s">
        <v>85</v>
      </c>
    </row>
    <row r="44" spans="1:1">
      <c r="A44" t="s">
        <v>66</v>
      </c>
    </row>
    <row r="45" spans="1:1">
      <c r="A45" t="s">
        <v>90</v>
      </c>
    </row>
    <row r="46" spans="1:1">
      <c r="A46" t="s">
        <v>68</v>
      </c>
    </row>
    <row r="47" spans="1:1">
      <c r="A47" t="s">
        <v>15</v>
      </c>
    </row>
    <row r="50" spans="1:1">
      <c r="A50" t="s">
        <v>235</v>
      </c>
    </row>
    <row r="51" spans="1:1">
      <c r="A51" t="s">
        <v>91</v>
      </c>
    </row>
    <row r="52" spans="1:1">
      <c r="A52" t="s">
        <v>63</v>
      </c>
    </row>
    <row r="53" spans="1:1">
      <c r="A53" t="s">
        <v>45</v>
      </c>
    </row>
    <row r="54" spans="1:1">
      <c r="A54" t="s">
        <v>21</v>
      </c>
    </row>
    <row r="55" spans="1:1">
      <c r="A55" t="s">
        <v>36</v>
      </c>
    </row>
    <row r="56" spans="1:1">
      <c r="A56" t="s">
        <v>21</v>
      </c>
    </row>
    <row r="57" spans="1:1">
      <c r="A57" t="s">
        <v>64</v>
      </c>
    </row>
    <row r="58" spans="1:1">
      <c r="A58" t="s">
        <v>92</v>
      </c>
    </row>
    <row r="59" spans="1:1">
      <c r="A59" t="s">
        <v>66</v>
      </c>
    </row>
    <row r="60" spans="1:1">
      <c r="A60" t="s">
        <v>93</v>
      </c>
    </row>
    <row r="61" spans="1:1">
      <c r="A61" t="s">
        <v>68</v>
      </c>
    </row>
    <row r="62" spans="1:1">
      <c r="A62" t="s">
        <v>15</v>
      </c>
    </row>
    <row r="65" spans="1:1">
      <c r="A65" t="s">
        <v>236</v>
      </c>
    </row>
    <row r="66" spans="1:1">
      <c r="A66" t="s">
        <v>94</v>
      </c>
    </row>
    <row r="67" spans="1:1">
      <c r="A67" t="s">
        <v>95</v>
      </c>
    </row>
    <row r="69" spans="1:1">
      <c r="A69" t="s">
        <v>96</v>
      </c>
    </row>
    <row r="70" spans="1:1">
      <c r="A70" t="s">
        <v>103</v>
      </c>
    </row>
    <row r="71" spans="1:1">
      <c r="A71" t="s">
        <v>97</v>
      </c>
    </row>
    <row r="72" spans="1:1">
      <c r="A72" t="s">
        <v>98</v>
      </c>
    </row>
    <row r="73" spans="1:1">
      <c r="A73" t="s">
        <v>99</v>
      </c>
    </row>
    <row r="74" spans="1:1">
      <c r="A74" t="s">
        <v>100</v>
      </c>
    </row>
    <row r="75" spans="1:1">
      <c r="A75" t="s">
        <v>20</v>
      </c>
    </row>
    <row r="76" spans="1:1">
      <c r="A76" t="s">
        <v>23</v>
      </c>
    </row>
    <row r="77" spans="1:1">
      <c r="A77" t="s">
        <v>20</v>
      </c>
    </row>
    <row r="78" spans="1:1">
      <c r="A78" t="s">
        <v>15</v>
      </c>
    </row>
    <row r="79" spans="1:1">
      <c r="A79" t="s">
        <v>9</v>
      </c>
    </row>
    <row r="80" spans="1:1" ht="19.5">
      <c r="A80" s="134"/>
    </row>
  </sheetData>
  <pageMargins left="0.7" right="0.7" top="0.75" bottom="0.75" header="0.3" footer="0.3"/>
  <pageSetup orientation="portrait" horizontalDpi="4294967292" verticalDpi="4294967292"/>
  <drawing r:id="rId1"/>
  <legacyDrawing r:id="rId2"/>
  <oleObjects>
    <mc:AlternateContent xmlns:mc="http://schemas.openxmlformats.org/markup-compatibility/2006">
      <mc:Choice Requires="x14">
        <oleObject progId="Equation.3" shapeId="58370" r:id="rId3">
          <objectPr defaultSize="0" autoPict="0" r:id="rId4">
            <anchor moveWithCells="1" sizeWithCells="1">
              <from>
                <xdr:col>7</xdr:col>
                <xdr:colOff>257175</xdr:colOff>
                <xdr:row>7</xdr:row>
                <xdr:rowOff>104775</xdr:rowOff>
              </from>
              <to>
                <xdr:col>11</xdr:col>
                <xdr:colOff>981075</xdr:colOff>
                <xdr:row>15</xdr:row>
                <xdr:rowOff>104775</xdr:rowOff>
              </to>
            </anchor>
          </objectPr>
        </oleObject>
      </mc:Choice>
      <mc:Fallback>
        <oleObject progId="Equation.3" shapeId="58370" r:id="rId3"/>
      </mc:Fallback>
    </mc:AlternateContent>
    <mc:AlternateContent xmlns:mc="http://schemas.openxmlformats.org/markup-compatibility/2006">
      <mc:Choice Requires="x14">
        <oleObject progId="Equation.3" shapeId="58371" r:id="rId5">
          <objectPr defaultSize="0" autoPict="0" r:id="rId6">
            <anchor moveWithCells="1" sizeWithCells="1">
              <from>
                <xdr:col>7</xdr:col>
                <xdr:colOff>257175</xdr:colOff>
                <xdr:row>15</xdr:row>
                <xdr:rowOff>104775</xdr:rowOff>
              </from>
              <to>
                <xdr:col>11</xdr:col>
                <xdr:colOff>1323975</xdr:colOff>
                <xdr:row>20</xdr:row>
                <xdr:rowOff>114300</xdr:rowOff>
              </to>
            </anchor>
          </objectPr>
        </oleObject>
      </mc:Choice>
      <mc:Fallback>
        <oleObject progId="Equation.3" shapeId="58371" r:id="rId5"/>
      </mc:Fallback>
    </mc:AlternateContent>
  </oleObjects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48"/>
  <sheetViews>
    <sheetView showGridLines="0" topLeftCell="A20" zoomScaleNormal="100" zoomScalePageLayoutView="90" workbookViewId="0">
      <selection activeCell="A34" sqref="A34:XFD36"/>
    </sheetView>
  </sheetViews>
  <sheetFormatPr defaultColWidth="8.875" defaultRowHeight="16.5"/>
  <cols>
    <col min="1" max="1" width="12.375" style="2" bestFit="1" customWidth="1"/>
    <col min="2" max="2" width="9.5" style="2" bestFit="1" customWidth="1"/>
    <col min="3" max="4" width="8.875" style="2"/>
    <col min="5" max="6" width="9.5" style="2" bestFit="1" customWidth="1"/>
    <col min="7" max="7" width="8.875" style="2"/>
    <col min="8" max="8" width="26.125" style="2" bestFit="1" customWidth="1"/>
    <col min="9" max="16384" width="8.875" style="2"/>
  </cols>
  <sheetData>
    <row r="1" spans="1:6" ht="20.25">
      <c r="A1" s="5" t="s">
        <v>120</v>
      </c>
      <c r="B1" s="3"/>
      <c r="C1" s="4"/>
      <c r="D1"/>
      <c r="E1"/>
      <c r="F1"/>
    </row>
    <row r="2" spans="1:6" ht="18.75">
      <c r="A2" s="122" t="s">
        <v>105</v>
      </c>
      <c r="B2" s="6"/>
      <c r="C2" s="6"/>
    </row>
    <row r="3" spans="1:6">
      <c r="A3" s="2" t="s">
        <v>109</v>
      </c>
    </row>
    <row r="4" spans="1:6">
      <c r="A4" s="123" t="s">
        <v>7</v>
      </c>
      <c r="B4" s="125">
        <v>4</v>
      </c>
      <c r="C4" s="125"/>
      <c r="D4" s="125"/>
    </row>
    <row r="5" spans="1:6">
      <c r="A5" s="124" t="s">
        <v>108</v>
      </c>
      <c r="B5" s="125">
        <v>4</v>
      </c>
      <c r="C5" s="125">
        <v>16</v>
      </c>
      <c r="D5" s="125">
        <v>64</v>
      </c>
    </row>
    <row r="6" spans="1:6">
      <c r="A6" s="44"/>
      <c r="B6" s="44"/>
      <c r="C6" s="44"/>
      <c r="D6" s="44"/>
      <c r="E6" s="44"/>
      <c r="F6" s="44"/>
    </row>
    <row r="7" spans="1:6" ht="18.75">
      <c r="A7" s="122" t="s">
        <v>226</v>
      </c>
      <c r="B7" s="6"/>
      <c r="C7" s="6"/>
    </row>
    <row r="8" spans="1:6">
      <c r="A8" t="s">
        <v>9</v>
      </c>
      <c r="B8" s="6"/>
      <c r="C8" s="6"/>
    </row>
    <row r="9" spans="1:6" ht="18.75">
      <c r="A9" s="122" t="s">
        <v>106</v>
      </c>
      <c r="B9" s="6"/>
      <c r="C9" s="6"/>
    </row>
    <row r="10" spans="1:6" ht="18.75">
      <c r="A10" s="122"/>
      <c r="B10" s="6"/>
      <c r="C10" s="6"/>
    </row>
    <row r="11" spans="1:6" ht="18.75">
      <c r="A11" s="122" t="s">
        <v>107</v>
      </c>
      <c r="B11" s="6"/>
      <c r="C11" s="6"/>
    </row>
    <row r="12" spans="1:6" ht="18.75">
      <c r="A12" s="122" t="s">
        <v>21</v>
      </c>
      <c r="B12" s="6"/>
      <c r="C12" s="6"/>
    </row>
    <row r="13" spans="1:6" ht="18.75">
      <c r="A13" s="122" t="s">
        <v>15</v>
      </c>
      <c r="B13" s="6"/>
      <c r="C13" s="6"/>
    </row>
    <row r="14" spans="1:6">
      <c r="A14" t="s">
        <v>9</v>
      </c>
      <c r="B14" s="6"/>
      <c r="C14" s="6"/>
    </row>
    <row r="15" spans="1:6">
      <c r="A15"/>
      <c r="B15" s="6"/>
      <c r="C15" s="6"/>
    </row>
    <row r="16" spans="1:6" ht="18.75">
      <c r="A16" s="122" t="s">
        <v>110</v>
      </c>
      <c r="B16" s="6"/>
      <c r="C16" s="6"/>
    </row>
    <row r="17" spans="1:6" ht="18.75">
      <c r="A17" s="122" t="s">
        <v>111</v>
      </c>
      <c r="B17" s="44"/>
      <c r="C17" s="44"/>
      <c r="D17" s="126">
        <f t="array" ref="D17:F17">threeoutput(B4)</f>
        <v>4</v>
      </c>
      <c r="E17" s="126">
        <v>16</v>
      </c>
      <c r="F17" s="127">
        <v>64</v>
      </c>
    </row>
    <row r="18" spans="1:6">
      <c r="A18"/>
      <c r="B18" s="6"/>
      <c r="C18" s="6"/>
    </row>
    <row r="19" spans="1:6" s="44" customFormat="1" ht="18.75">
      <c r="A19" s="128" t="s">
        <v>112</v>
      </c>
    </row>
    <row r="20" spans="1:6" s="44" customFormat="1">
      <c r="A20" s="45"/>
    </row>
    <row r="21" spans="1:6">
      <c r="A21"/>
      <c r="B21" s="135" t="s">
        <v>58</v>
      </c>
      <c r="C21" s="79"/>
      <c r="D21" s="79"/>
      <c r="E21" s="118" t="s">
        <v>59</v>
      </c>
      <c r="F21"/>
    </row>
    <row r="22" spans="1:6">
      <c r="A22"/>
      <c r="B22" s="99" t="s">
        <v>38</v>
      </c>
      <c r="C22" s="61"/>
      <c r="D22" s="61"/>
      <c r="E22" s="101">
        <v>100</v>
      </c>
      <c r="F22"/>
    </row>
    <row r="23" spans="1:6">
      <c r="A23"/>
      <c r="B23" s="99" t="s">
        <v>39</v>
      </c>
      <c r="C23" s="61"/>
      <c r="D23" s="61"/>
      <c r="E23" s="104">
        <v>100</v>
      </c>
      <c r="F23" s="23"/>
    </row>
    <row r="24" spans="1:6">
      <c r="A24"/>
      <c r="B24" s="99" t="s">
        <v>40</v>
      </c>
      <c r="C24" s="61"/>
      <c r="D24" s="61"/>
      <c r="E24" s="102">
        <v>1</v>
      </c>
      <c r="F24" s="23"/>
    </row>
    <row r="25" spans="1:6">
      <c r="A25"/>
      <c r="B25" s="99" t="s">
        <v>10</v>
      </c>
      <c r="C25" s="61"/>
      <c r="D25" s="61"/>
      <c r="E25" s="103">
        <v>0.03</v>
      </c>
      <c r="F25" s="1"/>
    </row>
    <row r="26" spans="1:6">
      <c r="A26"/>
      <c r="B26" s="99" t="s">
        <v>75</v>
      </c>
      <c r="C26" s="61"/>
      <c r="D26" s="61"/>
      <c r="E26" s="103">
        <v>0.05</v>
      </c>
      <c r="F26"/>
    </row>
    <row r="27" spans="1:6">
      <c r="A27"/>
      <c r="B27" s="99" t="s">
        <v>41</v>
      </c>
      <c r="C27" s="61"/>
      <c r="D27" s="61"/>
      <c r="E27" s="106">
        <v>0.25</v>
      </c>
      <c r="F27"/>
    </row>
    <row r="28" spans="1:6">
      <c r="B28" s="131" t="s">
        <v>113</v>
      </c>
      <c r="C28" s="117"/>
      <c r="D28" s="117"/>
      <c r="E28" s="117"/>
    </row>
    <row r="29" spans="1:6">
      <c r="B29" s="129" t="s">
        <v>5</v>
      </c>
      <c r="C29" s="117"/>
      <c r="D29" s="117"/>
      <c r="E29" s="130">
        <v>8.6276740295600174</v>
      </c>
    </row>
    <row r="30" spans="1:6">
      <c r="B30" s="129" t="s">
        <v>8</v>
      </c>
      <c r="C30" s="117"/>
      <c r="D30" s="117"/>
      <c r="E30" s="130">
        <v>0.4926858041732724</v>
      </c>
    </row>
    <row r="32" spans="1:6" ht="18.75">
      <c r="A32" s="133" t="s">
        <v>227</v>
      </c>
    </row>
    <row r="33" spans="1:3" ht="18.75">
      <c r="A33" s="133" t="s">
        <v>114</v>
      </c>
    </row>
    <row r="34" spans="1:3" customFormat="1">
      <c r="A34" t="s">
        <v>9</v>
      </c>
    </row>
    <row r="35" spans="1:3" customFormat="1">
      <c r="A35" t="s">
        <v>237</v>
      </c>
    </row>
    <row r="36" spans="1:3" customFormat="1">
      <c r="A36" t="s">
        <v>117</v>
      </c>
    </row>
    <row r="37" spans="1:3" customFormat="1">
      <c r="A37" t="s">
        <v>20</v>
      </c>
    </row>
    <row r="38" spans="1:3" customFormat="1">
      <c r="A38" t="s">
        <v>118</v>
      </c>
    </row>
    <row r="39" spans="1:3" customFormat="1">
      <c r="A39" t="s">
        <v>119</v>
      </c>
    </row>
    <row r="40" spans="1:3" customFormat="1">
      <c r="A40" t="s">
        <v>20</v>
      </c>
    </row>
    <row r="41" spans="1:3" customFormat="1">
      <c r="A41" s="100" t="s">
        <v>258</v>
      </c>
    </row>
    <row r="42" spans="1:3" customFormat="1">
      <c r="A42" t="s">
        <v>115</v>
      </c>
    </row>
    <row r="43" spans="1:3" customFormat="1">
      <c r="A43" t="s">
        <v>15</v>
      </c>
    </row>
    <row r="44" spans="1:3" customFormat="1">
      <c r="A44" t="s">
        <v>9</v>
      </c>
    </row>
    <row r="45" spans="1:3" ht="18.75">
      <c r="A45" s="250" t="s">
        <v>259</v>
      </c>
      <c r="B45" s="6"/>
      <c r="C45" s="6"/>
    </row>
    <row r="46" spans="1:3" ht="18.75">
      <c r="A46" s="132" t="s">
        <v>116</v>
      </c>
    </row>
    <row r="47" spans="1:3">
      <c r="A47" s="130">
        <f t="array" ref="A47:A48">BSvec(E21,E22,E23,E24,E25,E26,E27)</f>
        <v>8.6276740295600174</v>
      </c>
    </row>
    <row r="48" spans="1:3">
      <c r="A48" s="130">
        <v>0.4926858041732724</v>
      </c>
    </row>
  </sheetData>
  <phoneticPr fontId="2" type="noConversion"/>
  <pageMargins left="0.75" right="0.75" top="1" bottom="1" header="0.5" footer="0.5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G71"/>
  <sheetViews>
    <sheetView workbookViewId="0">
      <selection activeCell="A13" sqref="A13:XFD17"/>
    </sheetView>
  </sheetViews>
  <sheetFormatPr defaultColWidth="8.875" defaultRowHeight="16.5"/>
  <cols>
    <col min="1" max="1" width="13.875" customWidth="1"/>
    <col min="2" max="2" width="12.625" customWidth="1"/>
    <col min="3" max="3" width="13.5" customWidth="1"/>
    <col min="5" max="5" width="13.5" customWidth="1"/>
    <col min="6" max="6" width="11.375" customWidth="1"/>
    <col min="7" max="7" width="11.125" customWidth="1"/>
  </cols>
  <sheetData>
    <row r="1" spans="1:4" ht="20.25">
      <c r="A1" s="46" t="s">
        <v>121</v>
      </c>
      <c r="B1" s="49"/>
      <c r="C1" s="49"/>
    </row>
    <row r="2" spans="1:4">
      <c r="A2" s="119" t="s">
        <v>122</v>
      </c>
    </row>
    <row r="4" spans="1:4">
      <c r="A4" s="135" t="s">
        <v>58</v>
      </c>
      <c r="B4" s="79"/>
      <c r="C4" s="79"/>
      <c r="D4" s="118" t="s">
        <v>59</v>
      </c>
    </row>
    <row r="5" spans="1:4">
      <c r="A5" s="52" t="s">
        <v>38</v>
      </c>
      <c r="B5" s="79"/>
      <c r="C5" s="79"/>
      <c r="D5" s="137">
        <v>100</v>
      </c>
    </row>
    <row r="6" spans="1:4">
      <c r="A6" s="52" t="s">
        <v>39</v>
      </c>
      <c r="B6" s="79"/>
      <c r="C6" s="79"/>
      <c r="D6" s="138">
        <v>100</v>
      </c>
    </row>
    <row r="7" spans="1:4">
      <c r="A7" s="52" t="s">
        <v>40</v>
      </c>
      <c r="B7" s="79"/>
      <c r="C7" s="79"/>
      <c r="D7" s="139">
        <v>1</v>
      </c>
    </row>
    <row r="8" spans="1:4">
      <c r="A8" s="52" t="s">
        <v>10</v>
      </c>
      <c r="B8" s="79"/>
      <c r="C8" s="79"/>
      <c r="D8" s="140">
        <v>0.03</v>
      </c>
    </row>
    <row r="9" spans="1:4">
      <c r="A9" s="52" t="s">
        <v>75</v>
      </c>
      <c r="B9" s="79"/>
      <c r="C9" s="79"/>
      <c r="D9" s="140">
        <v>0.05</v>
      </c>
    </row>
    <row r="10" spans="1:4">
      <c r="A10" s="52" t="s">
        <v>41</v>
      </c>
      <c r="B10" s="79"/>
      <c r="C10" s="79"/>
      <c r="D10" s="141">
        <v>0.25</v>
      </c>
    </row>
    <row r="11" spans="1:4">
      <c r="A11" s="16"/>
      <c r="B11" s="44"/>
      <c r="C11" s="44"/>
      <c r="D11" s="136"/>
    </row>
    <row r="12" spans="1:4">
      <c r="A12" s="246" t="s">
        <v>123</v>
      </c>
    </row>
    <row r="13" spans="1:4">
      <c r="A13" t="s">
        <v>9</v>
      </c>
    </row>
    <row r="14" spans="1:4">
      <c r="A14" t="s">
        <v>238</v>
      </c>
    </row>
    <row r="15" spans="1:4">
      <c r="A15" t="s">
        <v>117</v>
      </c>
    </row>
    <row r="16" spans="1:4">
      <c r="A16" t="s">
        <v>20</v>
      </c>
    </row>
    <row r="17" spans="1:7">
      <c r="A17" t="s">
        <v>118</v>
      </c>
    </row>
    <row r="18" spans="1:7">
      <c r="A18" t="s">
        <v>119</v>
      </c>
    </row>
    <row r="19" spans="1:7">
      <c r="A19" t="s">
        <v>20</v>
      </c>
    </row>
    <row r="20" spans="1:7">
      <c r="A20" t="s">
        <v>124</v>
      </c>
    </row>
    <row r="22" spans="1:7">
      <c r="A22" t="s">
        <v>15</v>
      </c>
    </row>
    <row r="23" spans="1:7">
      <c r="A23" t="s">
        <v>9</v>
      </c>
    </row>
    <row r="24" spans="1:7">
      <c r="A24" s="143" t="s">
        <v>125</v>
      </c>
    </row>
    <row r="25" spans="1:7">
      <c r="A25" s="143" t="s">
        <v>244</v>
      </c>
    </row>
    <row r="26" spans="1:7">
      <c r="A26" s="93" t="s">
        <v>128</v>
      </c>
      <c r="B26" s="93"/>
      <c r="C26" s="93"/>
      <c r="D26" s="93"/>
      <c r="E26" s="93" t="s">
        <v>129</v>
      </c>
    </row>
    <row r="27" spans="1:7">
      <c r="A27" s="147" t="s">
        <v>38</v>
      </c>
      <c r="B27" s="148" t="s">
        <v>126</v>
      </c>
      <c r="C27" s="148" t="s">
        <v>127</v>
      </c>
      <c r="E27" s="150" t="s">
        <v>38</v>
      </c>
      <c r="F27" s="151" t="s">
        <v>126</v>
      </c>
      <c r="G27" s="151" t="s">
        <v>127</v>
      </c>
    </row>
    <row r="28" spans="1:7">
      <c r="A28" s="152">
        <v>100</v>
      </c>
      <c r="B28" s="153">
        <f t="array" ref="B28:C28">BSvec1("c",D5,D6,D7,D8,D9,D10)</f>
        <v>8.6276740295600174</v>
      </c>
      <c r="C28" s="153">
        <v>0.4926858041732724</v>
      </c>
      <c r="E28" s="154">
        <v>100</v>
      </c>
      <c r="F28" s="154">
        <f t="array" ref="F28:G28">BSvec1("p",D5,D6,D7,D8,D9,D10)</f>
        <v>10.549284934339425</v>
      </c>
      <c r="G28" s="154">
        <v>-0.45854362032744167</v>
      </c>
    </row>
    <row r="29" spans="1:7">
      <c r="A29" s="119">
        <v>81</v>
      </c>
      <c r="B29" s="145">
        <f t="dataTable" ref="B29:C68" dt2D="0" dtr="0" r1="D5" ca="1"/>
        <v>2.0715111623161073</v>
      </c>
      <c r="C29" s="145">
        <v>0.20210663924832648</v>
      </c>
      <c r="E29" s="144">
        <v>81</v>
      </c>
      <c r="F29" s="144">
        <f t="dataTable" ref="F29:G68" dt2D="0" dtr="0" r1="D5"/>
        <v>22.066481132609095</v>
      </c>
      <c r="G29" s="144">
        <v>-0.74912278525238751</v>
      </c>
    </row>
    <row r="30" spans="1:7">
      <c r="A30" s="119">
        <v>82</v>
      </c>
      <c r="B30" s="145">
        <v>2.2804936374147933</v>
      </c>
      <c r="C30" s="145">
        <v>0.21591742500948957</v>
      </c>
      <c r="E30" s="144">
        <v>82</v>
      </c>
      <c r="F30" s="144">
        <v>21.324234183207064</v>
      </c>
      <c r="G30" s="144">
        <v>-0.73531199949122439</v>
      </c>
    </row>
    <row r="31" spans="1:7">
      <c r="A31" s="119">
        <v>83</v>
      </c>
      <c r="B31" s="145">
        <v>2.5034594253104587</v>
      </c>
      <c r="C31" s="145">
        <v>0.23006840929799521</v>
      </c>
      <c r="E31" s="144">
        <v>83</v>
      </c>
      <c r="F31" s="144">
        <v>20.595970546602008</v>
      </c>
      <c r="G31" s="144">
        <v>-0.7211610152027188</v>
      </c>
    </row>
    <row r="32" spans="1:7">
      <c r="A32" s="119">
        <v>84</v>
      </c>
      <c r="B32" s="145">
        <v>2.740733968019923</v>
      </c>
      <c r="C32" s="145">
        <v>0.24452989728182725</v>
      </c>
      <c r="E32" s="144">
        <v>84</v>
      </c>
      <c r="F32" s="144">
        <v>19.882015664810762</v>
      </c>
      <c r="G32" s="144">
        <v>-0.70669952721888674</v>
      </c>
    </row>
    <row r="33" spans="1:7">
      <c r="A33" s="119">
        <v>85</v>
      </c>
      <c r="B33" s="146">
        <v>2.9926125075124865</v>
      </c>
      <c r="C33" s="146">
        <v>0.25927122381843209</v>
      </c>
      <c r="E33" s="144">
        <v>85</v>
      </c>
      <c r="F33" s="149">
        <v>19.182664779802614</v>
      </c>
      <c r="G33" s="149">
        <v>-0.69195820068228198</v>
      </c>
    </row>
    <row r="34" spans="1:7">
      <c r="A34" s="119">
        <v>86</v>
      </c>
      <c r="B34" s="146">
        <v>3.2593592351436311</v>
      </c>
      <c r="C34" s="146">
        <v>0.27426099223984551</v>
      </c>
      <c r="E34" s="144">
        <v>86</v>
      </c>
      <c r="F34" s="149">
        <v>18.498182082933042</v>
      </c>
      <c r="G34" s="149">
        <v>-0.67696843226086845</v>
      </c>
    </row>
    <row r="35" spans="1:7">
      <c r="A35" s="119">
        <v>87</v>
      </c>
      <c r="B35" s="146">
        <v>3.5412066773473763</v>
      </c>
      <c r="C35" s="146">
        <v>0.28946730767817203</v>
      </c>
      <c r="E35" s="144">
        <v>87</v>
      </c>
      <c r="F35" s="149">
        <v>17.828800100636077</v>
      </c>
      <c r="G35" s="149">
        <v>-0.66176211682254193</v>
      </c>
    </row>
    <row r="36" spans="1:7">
      <c r="A36" s="119">
        <v>88</v>
      </c>
      <c r="B36" s="146">
        <v>3.838355310956941</v>
      </c>
      <c r="C36" s="146">
        <v>0.30485800263986956</v>
      </c>
      <c r="E36" s="144">
        <v>88</v>
      </c>
      <c r="F36" s="149">
        <v>17.174719309744919</v>
      </c>
      <c r="G36" s="149">
        <v>-0.6463714218608444</v>
      </c>
    </row>
    <row r="37" spans="1:7">
      <c r="A37" s="119">
        <v>89</v>
      </c>
      <c r="B37" s="146">
        <v>4.150973399382619</v>
      </c>
      <c r="C37" s="146">
        <v>0.32040085283960812</v>
      </c>
      <c r="E37" s="144">
        <v>89</v>
      </c>
      <c r="F37" s="149">
        <v>16.536107973669885</v>
      </c>
      <c r="G37" s="149">
        <v>-0.63082857166110584</v>
      </c>
    </row>
    <row r="38" spans="1:7">
      <c r="A38" s="119">
        <v>90</v>
      </c>
      <c r="B38" s="146">
        <v>4.4791970390383069</v>
      </c>
      <c r="C38" s="146">
        <v>0.33606378160820527</v>
      </c>
      <c r="E38" s="144">
        <v>90</v>
      </c>
      <c r="F38" s="149">
        <v>15.913102188824855</v>
      </c>
      <c r="G38" s="149">
        <v>-0.61516564289250875</v>
      </c>
    </row>
    <row r="39" spans="1:7">
      <c r="A39" s="119">
        <v>91</v>
      </c>
      <c r="B39" s="146">
        <v>4.8231304038733889</v>
      </c>
      <c r="C39" s="146">
        <v>0.35181505148847231</v>
      </c>
      <c r="E39" s="144">
        <v>91</v>
      </c>
      <c r="F39" s="149">
        <v>15.305806129159233</v>
      </c>
      <c r="G39" s="149">
        <v>-0.59941437301224165</v>
      </c>
    </row>
    <row r="40" spans="1:7">
      <c r="A40" s="119">
        <v>92</v>
      </c>
      <c r="B40" s="146">
        <v>5.1828461746256655</v>
      </c>
      <c r="C40" s="146">
        <v>0.36762344192277174</v>
      </c>
      <c r="E40" s="144">
        <v>92</v>
      </c>
      <c r="F40" s="149">
        <v>14.714292475410792</v>
      </c>
      <c r="G40" s="149">
        <v>-0.58360598257794227</v>
      </c>
    </row>
    <row r="41" spans="1:7">
      <c r="A41" s="119">
        <v>93</v>
      </c>
      <c r="B41" s="146">
        <v>5.5583861384552975</v>
      </c>
      <c r="C41" s="146">
        <v>0.38345841221260468</v>
      </c>
      <c r="E41" s="144">
        <v>93</v>
      </c>
      <c r="F41" s="149">
        <v>14.13860301473971</v>
      </c>
      <c r="G41" s="149">
        <v>-0.56777101228810933</v>
      </c>
    </row>
    <row r="42" spans="1:7">
      <c r="A42" s="119">
        <v>94</v>
      </c>
      <c r="B42" s="146">
        <v>5.94976194393052</v>
      </c>
      <c r="C42" s="146">
        <v>0.3992902491903314</v>
      </c>
      <c r="E42" s="144">
        <v>94</v>
      </c>
      <c r="F42" s="149">
        <v>13.578749395714219</v>
      </c>
      <c r="G42" s="149">
        <v>-0.55193917531038261</v>
      </c>
    </row>
    <row r="43" spans="1:7">
      <c r="A43" s="119">
        <v>95</v>
      </c>
      <c r="B43" s="146">
        <v>6.3569559958987902</v>
      </c>
      <c r="C43" s="146">
        <v>0.41509019928370638</v>
      </c>
      <c r="E43" s="144">
        <v>95</v>
      </c>
      <c r="F43" s="149">
        <v>13.034714023181769</v>
      </c>
      <c r="G43" s="149">
        <v>-0.53613922521700774</v>
      </c>
    </row>
    <row r="44" spans="1:7">
      <c r="A44" s="119">
        <v>96</v>
      </c>
      <c r="B44" s="146">
        <v>6.7799224745686208</v>
      </c>
      <c r="C44" s="146">
        <v>0.43083058487347903</v>
      </c>
      <c r="E44" s="144">
        <v>96</v>
      </c>
      <c r="F44" s="149">
        <v>12.50645107735089</v>
      </c>
      <c r="G44" s="149">
        <v>-0.52039883962723499</v>
      </c>
    </row>
    <row r="45" spans="1:7">
      <c r="A45" s="119">
        <v>97</v>
      </c>
      <c r="B45" s="146">
        <v>7.2185884631286967</v>
      </c>
      <c r="C45" s="146">
        <v>0.44648490504177857</v>
      </c>
      <c r="E45" s="144">
        <v>97</v>
      </c>
      <c r="F45" s="149">
        <v>11.993887641410254</v>
      </c>
      <c r="G45" s="149">
        <v>-0.5047445194589355</v>
      </c>
    </row>
    <row r="46" spans="1:7">
      <c r="A46" s="119">
        <v>98</v>
      </c>
      <c r="B46" s="146">
        <v>7.6728551684175894</v>
      </c>
      <c r="C46" s="146">
        <v>0.46202792098376394</v>
      </c>
      <c r="E46" s="144">
        <v>98</v>
      </c>
      <c r="F46" s="149">
        <v>11.496924922198437</v>
      </c>
      <c r="G46" s="149">
        <v>-0.48920150351695008</v>
      </c>
    </row>
    <row r="47" spans="1:7">
      <c r="A47" s="119">
        <v>99</v>
      </c>
      <c r="B47" s="146">
        <v>8.1425992195079324</v>
      </c>
      <c r="C47" s="146">
        <v>0.47743572650707233</v>
      </c>
      <c r="E47" s="144">
        <v>99</v>
      </c>
      <c r="F47" s="149">
        <v>11.015439548788054</v>
      </c>
      <c r="G47" s="149">
        <v>-0.47379369799364168</v>
      </c>
    </row>
    <row r="48" spans="1:7">
      <c r="A48" s="119">
        <v>100</v>
      </c>
      <c r="B48" s="146">
        <v>8.6276740295600174</v>
      </c>
      <c r="C48" s="146">
        <v>0.4926858041732724</v>
      </c>
      <c r="E48" s="144">
        <v>100</v>
      </c>
      <c r="F48" s="149">
        <v>10.549284934339425</v>
      </c>
      <c r="G48" s="149">
        <v>-0.45854362032744167</v>
      </c>
    </row>
    <row r="49" spans="1:7">
      <c r="A49" s="119">
        <v>101</v>
      </c>
      <c r="B49" s="146">
        <v>9.127911206909797</v>
      </c>
      <c r="C49" s="146">
        <v>0.50775706774356788</v>
      </c>
      <c r="E49" s="144">
        <v>101</v>
      </c>
      <c r="F49" s="149">
        <v>10.098292687188497</v>
      </c>
      <c r="G49" s="149">
        <v>-0.44347235675714614</v>
      </c>
    </row>
    <row r="50" spans="1:7">
      <c r="A50" s="119">
        <v>102</v>
      </c>
      <c r="B50" s="146">
        <v>9.6431220020640911</v>
      </c>
      <c r="C50" s="146">
        <v>0.52262989167840623</v>
      </c>
      <c r="E50" s="144">
        <v>102</v>
      </c>
      <c r="F50" s="149">
        <v>9.6622740578420654</v>
      </c>
      <c r="G50" s="149">
        <v>-0.42859953282230784</v>
      </c>
    </row>
    <row r="51" spans="1:7">
      <c r="A51" s="119">
        <v>103</v>
      </c>
      <c r="B51" s="146">
        <v>10.173098778060476</v>
      </c>
      <c r="C51" s="146">
        <v>0.5372861285086511</v>
      </c>
      <c r="E51" s="144">
        <v>103</v>
      </c>
      <c r="F51" s="149">
        <v>9.241021409337737</v>
      </c>
      <c r="G51" s="149">
        <v>-0.41394329599206292</v>
      </c>
    </row>
    <row r="52" spans="1:7">
      <c r="A52" s="119">
        <v>104</v>
      </c>
      <c r="B52" s="146">
        <v>10.717616492494248</v>
      </c>
      <c r="C52" s="146">
        <v>0.55170911494598818</v>
      </c>
      <c r="E52" s="144">
        <v>104</v>
      </c>
      <c r="F52" s="149">
        <v>8.8343096992707935</v>
      </c>
      <c r="G52" s="149">
        <v>-0.39952030955472589</v>
      </c>
    </row>
    <row r="53" spans="1:7">
      <c r="A53" s="119">
        <v>105</v>
      </c>
      <c r="B53" s="146">
        <v>11.27643418039974</v>
      </c>
      <c r="C53" s="146">
        <v>0.56588366763374154</v>
      </c>
      <c r="E53" s="144">
        <v>105</v>
      </c>
      <c r="F53" s="149">
        <v>8.4418979626755881</v>
      </c>
      <c r="G53" s="149">
        <v>-0.38534575686697253</v>
      </c>
    </row>
    <row r="54" spans="1:7">
      <c r="A54" s="119">
        <v>106</v>
      </c>
      <c r="B54" s="146">
        <v>11.849296428085603</v>
      </c>
      <c r="C54" s="146">
        <v>0.57979606945787621</v>
      </c>
      <c r="E54" s="144">
        <v>106</v>
      </c>
      <c r="F54" s="149">
        <v>8.063530785860733</v>
      </c>
      <c r="G54" s="149">
        <v>-0.37143335504283781</v>
      </c>
    </row>
    <row r="55" spans="1:7">
      <c r="A55" s="119">
        <v>107</v>
      </c>
      <c r="B55" s="146">
        <v>12.435934828946623</v>
      </c>
      <c r="C55" s="146">
        <v>0.5934340473432399</v>
      </c>
      <c r="E55" s="144">
        <v>107</v>
      </c>
      <c r="F55" s="149">
        <v>7.6989397622210376</v>
      </c>
      <c r="G55" s="149">
        <v>-0.35779537715747411</v>
      </c>
    </row>
    <row r="56" spans="1:7">
      <c r="A56" s="119">
        <v>108</v>
      </c>
      <c r="B56" s="146">
        <v>13.036069413197803</v>
      </c>
      <c r="C56" s="146">
        <v>0.60678674245366382</v>
      </c>
      <c r="E56" s="144">
        <v>108</v>
      </c>
      <c r="F56" s="149">
        <v>7.3478449219715047</v>
      </c>
      <c r="G56" s="149">
        <v>-0.3444426820470502</v>
      </c>
    </row>
    <row r="57" spans="1:7">
      <c r="A57" s="119">
        <v>109</v>
      </c>
      <c r="B57" s="146">
        <v>13.64941004438718</v>
      </c>
      <c r="C57" s="146">
        <v>0.61984467369795127</v>
      </c>
      <c r="E57" s="144">
        <v>109</v>
      </c>
      <c r="F57" s="149">
        <v>7.0099561286601668</v>
      </c>
      <c r="G57" s="149">
        <v>-0.3313847508027627</v>
      </c>
    </row>
    <row r="58" spans="1:7">
      <c r="A58" s="119">
        <v>110</v>
      </c>
      <c r="B58" s="146">
        <v>14.275657776434203</v>
      </c>
      <c r="C58" s="146">
        <v>0.63259969541854433</v>
      </c>
      <c r="E58" s="144">
        <v>110</v>
      </c>
      <c r="F58" s="149">
        <v>6.6849744362064758</v>
      </c>
      <c r="G58" s="149">
        <v>-0.31862972908216974</v>
      </c>
    </row>
    <row r="59" spans="1:7">
      <c r="A59" s="119">
        <v>111</v>
      </c>
      <c r="B59" s="146">
        <v>14.914506165801374</v>
      </c>
      <c r="C59" s="146">
        <v>0.64504495010720375</v>
      </c>
      <c r="E59" s="144">
        <v>111</v>
      </c>
      <c r="F59" s="149">
        <v>6.3725934010729333</v>
      </c>
      <c r="G59" s="149">
        <v>-0.30618447439351032</v>
      </c>
    </row>
    <row r="60" spans="1:7">
      <c r="A60" s="119">
        <v>112</v>
      </c>
      <c r="B60" s="146">
        <v>15.565642534232767</v>
      </c>
      <c r="C60" s="146">
        <v>0.65717481695370961</v>
      </c>
      <c r="E60" s="144">
        <v>112</v>
      </c>
      <c r="F60" s="149">
        <v>6.0725003450036015</v>
      </c>
      <c r="G60" s="149">
        <v>-0.29405460754700452</v>
      </c>
    </row>
    <row r="61" spans="1:7">
      <c r="A61" s="119">
        <v>113</v>
      </c>
      <c r="B61" s="146">
        <v>16.228749178277376</v>
      </c>
      <c r="C61" s="146">
        <v>0.66898485699062171</v>
      </c>
      <c r="E61" s="144">
        <v>113</v>
      </c>
      <c r="F61" s="149">
        <v>5.7843775645475066</v>
      </c>
      <c r="G61" s="149">
        <v>-0.28224456751009225</v>
      </c>
    </row>
    <row r="62" spans="1:7">
      <c r="A62" s="119">
        <v>114</v>
      </c>
      <c r="B62" s="146">
        <v>16.90350452255613</v>
      </c>
      <c r="C62" s="146">
        <v>0.68047175555069883</v>
      </c>
      <c r="E62" s="144">
        <v>114</v>
      </c>
      <c r="F62" s="149">
        <v>5.5079034843255457</v>
      </c>
      <c r="G62" s="149">
        <v>-0.27075766895001518</v>
      </c>
    </row>
    <row r="63" spans="1:7">
      <c r="A63" s="119">
        <v>115</v>
      </c>
      <c r="B63" s="146">
        <v>17.589584214422604</v>
      </c>
      <c r="C63" s="146">
        <v>0.69163326270464853</v>
      </c>
      <c r="E63" s="144">
        <v>115</v>
      </c>
      <c r="F63" s="149">
        <v>5.2427537516913088</v>
      </c>
      <c r="G63" s="149">
        <v>-0.25959616179606548</v>
      </c>
    </row>
    <row r="64" spans="1:7">
      <c r="A64" s="119">
        <v>116</v>
      </c>
      <c r="B64" s="146">
        <v>18.286662158311263</v>
      </c>
      <c r="C64" s="146">
        <v>0.70246813229645755</v>
      </c>
      <c r="E64" s="144">
        <v>116</v>
      </c>
      <c r="F64" s="149">
        <v>4.9886022710792535</v>
      </c>
      <c r="G64" s="149">
        <v>-0.24876129220425644</v>
      </c>
    </row>
    <row r="65" spans="1:7">
      <c r="A65" s="119">
        <v>117</v>
      </c>
      <c r="B65" s="146">
        <v>18.99441148865764</v>
      </c>
      <c r="C65" s="146">
        <v>0.71297606014237447</v>
      </c>
      <c r="E65" s="144">
        <v>117</v>
      </c>
      <c r="F65" s="149">
        <v>4.7451221769249141</v>
      </c>
      <c r="G65" s="149">
        <v>-0.23825336435833949</v>
      </c>
    </row>
    <row r="66" spans="1:7">
      <c r="A66" s="119">
        <v>118</v>
      </c>
      <c r="B66" s="146">
        <v>19.712505480816045</v>
      </c>
      <c r="C66" s="146">
        <v>0.72315762190846589</v>
      </c>
      <c r="E66" s="144">
        <v>118</v>
      </c>
      <c r="F66" s="149">
        <v>4.5119867445826065</v>
      </c>
      <c r="G66" s="149">
        <v>-0.2280718025922481</v>
      </c>
    </row>
    <row r="67" spans="1:7">
      <c r="A67" s="119">
        <v>119</v>
      </c>
      <c r="B67" s="146">
        <v>20.440618399889672</v>
      </c>
      <c r="C67" s="146">
        <v>0.73301421113111831</v>
      </c>
      <c r="E67" s="144">
        <v>119</v>
      </c>
      <c r="F67" s="149">
        <v>4.2888702391555213</v>
      </c>
      <c r="G67" s="149">
        <v>-0.21821521336959565</v>
      </c>
    </row>
    <row r="68" spans="1:7">
      <c r="A68" s="119">
        <v>120</v>
      </c>
      <c r="B68" s="146">
        <v>21.17842628782768</v>
      </c>
      <c r="C68" s="146">
        <v>0.74254797779544579</v>
      </c>
      <c r="E68" s="144">
        <v>120</v>
      </c>
      <c r="F68" s="149">
        <v>4.0754487025928192</v>
      </c>
      <c r="G68" s="149">
        <v>-0.20868144670526817</v>
      </c>
    </row>
    <row r="71" spans="1:7">
      <c r="A71" s="143" t="s">
        <v>130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E54"/>
  <sheetViews>
    <sheetView workbookViewId="0">
      <selection activeCell="C6" sqref="C6"/>
    </sheetView>
  </sheetViews>
  <sheetFormatPr defaultColWidth="8.875" defaultRowHeight="16.5"/>
  <cols>
    <col min="1" max="1" width="13.375" customWidth="1"/>
    <col min="2" max="2" width="13.125" customWidth="1"/>
    <col min="3" max="3" width="14" customWidth="1"/>
    <col min="4" max="5" width="12.125" customWidth="1"/>
  </cols>
  <sheetData>
    <row r="1" spans="1:5" s="119" customFormat="1" ht="15.75">
      <c r="A1" s="143" t="s">
        <v>229</v>
      </c>
    </row>
    <row r="2" spans="1:5" s="119" customFormat="1" ht="15.75">
      <c r="A2" s="143" t="s">
        <v>228</v>
      </c>
    </row>
    <row r="3" spans="1:5" s="119" customFormat="1" ht="15.75">
      <c r="A3" s="143" t="s">
        <v>230</v>
      </c>
    </row>
    <row r="4" spans="1:5">
      <c r="A4" s="135" t="s">
        <v>58</v>
      </c>
      <c r="B4" s="79"/>
      <c r="C4" s="79"/>
      <c r="D4" s="118" t="s">
        <v>59</v>
      </c>
    </row>
    <row r="5" spans="1:5">
      <c r="A5" s="52" t="s">
        <v>38</v>
      </c>
      <c r="B5" s="79"/>
      <c r="C5" s="79"/>
      <c r="D5" s="137">
        <v>100</v>
      </c>
    </row>
    <row r="6" spans="1:5">
      <c r="A6" s="52" t="s">
        <v>39</v>
      </c>
      <c r="B6" s="79"/>
      <c r="C6" s="79"/>
      <c r="D6" s="138">
        <v>100</v>
      </c>
    </row>
    <row r="7" spans="1:5">
      <c r="A7" s="52" t="s">
        <v>40</v>
      </c>
      <c r="B7" s="79"/>
      <c r="C7" s="79"/>
      <c r="D7" s="139">
        <v>1</v>
      </c>
    </row>
    <row r="8" spans="1:5">
      <c r="A8" s="52" t="s">
        <v>10</v>
      </c>
      <c r="B8" s="79"/>
      <c r="C8" s="79"/>
      <c r="D8" s="140">
        <v>0.03</v>
      </c>
    </row>
    <row r="9" spans="1:5">
      <c r="A9" s="52" t="s">
        <v>75</v>
      </c>
      <c r="B9" s="79"/>
      <c r="C9" s="79"/>
      <c r="D9" s="140">
        <v>0.05</v>
      </c>
    </row>
    <row r="10" spans="1:5">
      <c r="A10" s="52" t="s">
        <v>41</v>
      </c>
      <c r="B10" s="79"/>
      <c r="C10" s="79"/>
      <c r="D10" s="141">
        <v>0.25</v>
      </c>
    </row>
    <row r="11" spans="1:5">
      <c r="A11" s="37"/>
    </row>
    <row r="12" spans="1:5">
      <c r="A12" s="142"/>
    </row>
    <row r="13" spans="1:5">
      <c r="A13" s="147" t="s">
        <v>38</v>
      </c>
      <c r="B13" s="148" t="s">
        <v>136</v>
      </c>
      <c r="C13" s="148" t="s">
        <v>137</v>
      </c>
      <c r="D13" s="148" t="s">
        <v>138</v>
      </c>
      <c r="E13" s="148" t="s">
        <v>139</v>
      </c>
    </row>
    <row r="14" spans="1:5">
      <c r="A14" s="152">
        <v>100</v>
      </c>
      <c r="B14" s="153"/>
      <c r="C14" s="153"/>
      <c r="D14" s="153"/>
      <c r="E14" s="153"/>
    </row>
    <row r="15" spans="1:5">
      <c r="A15" s="119">
        <v>81</v>
      </c>
      <c r="B15" s="145"/>
      <c r="C15" s="145"/>
      <c r="D15" s="145"/>
      <c r="E15" s="145"/>
    </row>
    <row r="16" spans="1:5">
      <c r="A16" s="119">
        <v>82</v>
      </c>
      <c r="B16" s="145"/>
      <c r="C16" s="145"/>
      <c r="D16" s="145"/>
      <c r="E16" s="145"/>
    </row>
    <row r="17" spans="1:5">
      <c r="A17" s="119">
        <v>83</v>
      </c>
      <c r="B17" s="145"/>
      <c r="C17" s="145"/>
      <c r="D17" s="145"/>
      <c r="E17" s="145"/>
    </row>
    <row r="18" spans="1:5">
      <c r="A18" s="119">
        <v>84</v>
      </c>
      <c r="B18" s="145"/>
      <c r="C18" s="145"/>
      <c r="D18" s="145"/>
      <c r="E18" s="145"/>
    </row>
    <row r="19" spans="1:5">
      <c r="A19" s="119">
        <v>85</v>
      </c>
      <c r="B19" s="145"/>
      <c r="C19" s="145"/>
      <c r="D19" s="145"/>
      <c r="E19" s="145"/>
    </row>
    <row r="20" spans="1:5">
      <c r="A20" s="119">
        <v>86</v>
      </c>
      <c r="B20" s="145"/>
      <c r="C20" s="145"/>
      <c r="D20" s="145"/>
      <c r="E20" s="145"/>
    </row>
    <row r="21" spans="1:5">
      <c r="A21" s="119">
        <v>87</v>
      </c>
      <c r="B21" s="145"/>
      <c r="C21" s="145"/>
      <c r="D21" s="145"/>
      <c r="E21" s="145"/>
    </row>
    <row r="22" spans="1:5">
      <c r="A22" s="119">
        <v>88</v>
      </c>
      <c r="B22" s="145"/>
      <c r="C22" s="145"/>
      <c r="D22" s="145"/>
      <c r="E22" s="145"/>
    </row>
    <row r="23" spans="1:5">
      <c r="A23" s="119">
        <v>89</v>
      </c>
      <c r="B23" s="145"/>
      <c r="C23" s="145"/>
      <c r="D23" s="145"/>
      <c r="E23" s="145"/>
    </row>
    <row r="24" spans="1:5">
      <c r="A24" s="119">
        <v>90</v>
      </c>
      <c r="B24" s="145"/>
      <c r="C24" s="145"/>
      <c r="D24" s="145"/>
      <c r="E24" s="145"/>
    </row>
    <row r="25" spans="1:5">
      <c r="A25" s="119">
        <v>91</v>
      </c>
      <c r="B25" s="145"/>
      <c r="C25" s="145"/>
      <c r="D25" s="145"/>
      <c r="E25" s="145"/>
    </row>
    <row r="26" spans="1:5">
      <c r="A26" s="119">
        <v>92</v>
      </c>
      <c r="B26" s="145"/>
      <c r="C26" s="145"/>
      <c r="D26" s="145"/>
      <c r="E26" s="145"/>
    </row>
    <row r="27" spans="1:5">
      <c r="A27" s="119">
        <v>93</v>
      </c>
      <c r="B27" s="145"/>
      <c r="C27" s="145"/>
      <c r="D27" s="145"/>
      <c r="E27" s="145"/>
    </row>
    <row r="28" spans="1:5">
      <c r="A28" s="119">
        <v>94</v>
      </c>
      <c r="B28" s="145"/>
      <c r="C28" s="145"/>
      <c r="D28" s="145"/>
      <c r="E28" s="145"/>
    </row>
    <row r="29" spans="1:5">
      <c r="A29" s="119">
        <v>95</v>
      </c>
      <c r="B29" s="155"/>
      <c r="C29" s="155"/>
      <c r="D29" s="155"/>
      <c r="E29" s="155"/>
    </row>
    <row r="30" spans="1:5">
      <c r="A30" s="119">
        <v>96</v>
      </c>
      <c r="B30" s="155"/>
      <c r="C30" s="155"/>
      <c r="D30" s="155"/>
      <c r="E30" s="155"/>
    </row>
    <row r="31" spans="1:5">
      <c r="A31" s="119">
        <v>97</v>
      </c>
      <c r="B31" s="155"/>
      <c r="C31" s="155"/>
      <c r="D31" s="155"/>
      <c r="E31" s="155"/>
    </row>
    <row r="32" spans="1:5">
      <c r="A32" s="119">
        <v>98</v>
      </c>
      <c r="B32" s="155"/>
      <c r="C32" s="155"/>
      <c r="D32" s="155"/>
      <c r="E32" s="155"/>
    </row>
    <row r="33" spans="1:5">
      <c r="A33" s="119">
        <v>99</v>
      </c>
      <c r="B33" s="155"/>
      <c r="C33" s="155"/>
      <c r="D33" s="155"/>
      <c r="E33" s="155"/>
    </row>
    <row r="34" spans="1:5">
      <c r="A34" s="119">
        <v>100</v>
      </c>
      <c r="B34" s="155"/>
      <c r="C34" s="155"/>
      <c r="D34" s="155"/>
      <c r="E34" s="155"/>
    </row>
    <row r="35" spans="1:5">
      <c r="A35" s="119">
        <v>101</v>
      </c>
      <c r="B35" s="155"/>
      <c r="C35" s="155"/>
      <c r="D35" s="155"/>
      <c r="E35" s="155"/>
    </row>
    <row r="36" spans="1:5">
      <c r="A36" s="119">
        <v>102</v>
      </c>
      <c r="B36" s="155"/>
      <c r="C36" s="155"/>
      <c r="D36" s="155"/>
      <c r="E36" s="155"/>
    </row>
    <row r="37" spans="1:5">
      <c r="A37" s="119">
        <v>103</v>
      </c>
      <c r="B37" s="155"/>
      <c r="C37" s="155"/>
      <c r="D37" s="155"/>
      <c r="E37" s="155"/>
    </row>
    <row r="38" spans="1:5">
      <c r="A38" s="119">
        <v>104</v>
      </c>
      <c r="B38" s="155"/>
      <c r="C38" s="155"/>
      <c r="D38" s="155"/>
      <c r="E38" s="155"/>
    </row>
    <row r="39" spans="1:5">
      <c r="A39" s="119">
        <v>105</v>
      </c>
      <c r="B39" s="155"/>
      <c r="C39" s="155"/>
      <c r="D39" s="155"/>
      <c r="E39" s="155"/>
    </row>
    <row r="40" spans="1:5">
      <c r="A40" s="119">
        <v>106</v>
      </c>
      <c r="B40" s="155"/>
      <c r="C40" s="155"/>
      <c r="D40" s="155"/>
      <c r="E40" s="155"/>
    </row>
    <row r="41" spans="1:5">
      <c r="A41" s="119">
        <v>107</v>
      </c>
      <c r="B41" s="155"/>
      <c r="C41" s="155"/>
      <c r="D41" s="155"/>
      <c r="E41" s="155"/>
    </row>
    <row r="42" spans="1:5">
      <c r="A42" s="119">
        <v>108</v>
      </c>
      <c r="B42" s="155"/>
      <c r="C42" s="155"/>
      <c r="D42" s="155"/>
      <c r="E42" s="155"/>
    </row>
    <row r="43" spans="1:5">
      <c r="A43" s="119">
        <v>109</v>
      </c>
      <c r="B43" s="155"/>
      <c r="C43" s="155"/>
      <c r="D43" s="155"/>
      <c r="E43" s="155"/>
    </row>
    <row r="44" spans="1:5">
      <c r="A44" s="119">
        <v>110</v>
      </c>
      <c r="B44" s="155"/>
      <c r="C44" s="155"/>
      <c r="D44" s="155"/>
      <c r="E44" s="155"/>
    </row>
    <row r="45" spans="1:5">
      <c r="A45" s="119">
        <v>111</v>
      </c>
      <c r="B45" s="155"/>
      <c r="C45" s="155"/>
      <c r="D45" s="155"/>
      <c r="E45" s="155"/>
    </row>
    <row r="46" spans="1:5">
      <c r="A46" s="119">
        <v>112</v>
      </c>
      <c r="B46" s="155"/>
      <c r="C46" s="155"/>
      <c r="D46" s="155"/>
      <c r="E46" s="155"/>
    </row>
    <row r="47" spans="1:5">
      <c r="A47" s="119">
        <v>113</v>
      </c>
      <c r="B47" s="155"/>
      <c r="C47" s="155"/>
      <c r="D47" s="155"/>
      <c r="E47" s="155"/>
    </row>
    <row r="48" spans="1:5">
      <c r="A48" s="119">
        <v>114</v>
      </c>
      <c r="B48" s="155"/>
      <c r="C48" s="155"/>
      <c r="D48" s="155"/>
      <c r="E48" s="155"/>
    </row>
    <row r="49" spans="1:5">
      <c r="A49" s="119">
        <v>115</v>
      </c>
      <c r="B49" s="155"/>
      <c r="C49" s="155"/>
      <c r="D49" s="155"/>
      <c r="E49" s="155"/>
    </row>
    <row r="50" spans="1:5">
      <c r="A50" s="119">
        <v>116</v>
      </c>
      <c r="B50" s="155"/>
      <c r="C50" s="155"/>
      <c r="D50" s="155"/>
      <c r="E50" s="155"/>
    </row>
    <row r="51" spans="1:5">
      <c r="A51" s="119">
        <v>117</v>
      </c>
      <c r="B51" s="155"/>
      <c r="C51" s="155"/>
      <c r="D51" s="155"/>
      <c r="E51" s="155"/>
    </row>
    <row r="52" spans="1:5">
      <c r="A52" s="119">
        <v>118</v>
      </c>
      <c r="B52" s="155"/>
      <c r="C52" s="155"/>
      <c r="D52" s="155"/>
      <c r="E52" s="155"/>
    </row>
    <row r="53" spans="1:5">
      <c r="A53" s="119">
        <v>119</v>
      </c>
      <c r="B53" s="155"/>
      <c r="C53" s="155"/>
      <c r="D53" s="155"/>
      <c r="E53" s="155"/>
    </row>
    <row r="54" spans="1:5">
      <c r="A54" s="119">
        <v>120</v>
      </c>
      <c r="B54" s="155"/>
      <c r="C54" s="155"/>
      <c r="D54" s="155"/>
      <c r="E54" s="155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E67"/>
  <sheetViews>
    <sheetView topLeftCell="A25" workbookViewId="0">
      <selection activeCell="B27" sqref="B27"/>
    </sheetView>
  </sheetViews>
  <sheetFormatPr defaultColWidth="8.875" defaultRowHeight="16.5"/>
  <cols>
    <col min="1" max="1" width="13.375" customWidth="1"/>
    <col min="2" max="2" width="13.125" customWidth="1"/>
    <col min="3" max="3" width="14" customWidth="1"/>
    <col min="4" max="5" width="12.125" customWidth="1"/>
  </cols>
  <sheetData>
    <row r="1" spans="1:4" s="119" customFormat="1" ht="15.75">
      <c r="A1" s="143" t="s">
        <v>231</v>
      </c>
    </row>
    <row r="2" spans="1:4" s="119" customFormat="1" ht="15.75">
      <c r="A2" s="143" t="s">
        <v>228</v>
      </c>
    </row>
    <row r="3" spans="1:4" s="119" customFormat="1" ht="15.75">
      <c r="A3" s="143" t="s">
        <v>230</v>
      </c>
    </row>
    <row r="4" spans="1:4">
      <c r="A4" s="135" t="s">
        <v>58</v>
      </c>
      <c r="B4" s="79"/>
      <c r="C4" s="79"/>
      <c r="D4" s="118" t="s">
        <v>59</v>
      </c>
    </row>
    <row r="5" spans="1:4">
      <c r="A5" s="52" t="s">
        <v>38</v>
      </c>
      <c r="B5" s="79"/>
      <c r="C5" s="79"/>
      <c r="D5" s="137">
        <v>100</v>
      </c>
    </row>
    <row r="6" spans="1:4">
      <c r="A6" s="52" t="s">
        <v>39</v>
      </c>
      <c r="B6" s="79"/>
      <c r="C6" s="79"/>
      <c r="D6" s="138">
        <v>100</v>
      </c>
    </row>
    <row r="7" spans="1:4">
      <c r="A7" s="52" t="s">
        <v>40</v>
      </c>
      <c r="B7" s="79"/>
      <c r="C7" s="79"/>
      <c r="D7" s="139">
        <v>1</v>
      </c>
    </row>
    <row r="8" spans="1:4">
      <c r="A8" s="52" t="s">
        <v>10</v>
      </c>
      <c r="B8" s="79"/>
      <c r="C8" s="79"/>
      <c r="D8" s="140">
        <v>0.03</v>
      </c>
    </row>
    <row r="9" spans="1:4">
      <c r="A9" s="52" t="s">
        <v>75</v>
      </c>
      <c r="B9" s="79"/>
      <c r="C9" s="79"/>
      <c r="D9" s="140">
        <v>0.05</v>
      </c>
    </row>
    <row r="10" spans="1:4">
      <c r="A10" s="52" t="s">
        <v>41</v>
      </c>
      <c r="B10" s="79"/>
      <c r="C10" s="79"/>
      <c r="D10" s="141">
        <v>0.25</v>
      </c>
    </row>
    <row r="11" spans="1:4">
      <c r="A11" s="37"/>
    </row>
    <row r="12" spans="1:4">
      <c r="A12" t="s">
        <v>9</v>
      </c>
    </row>
    <row r="13" spans="1:4">
      <c r="A13" t="s">
        <v>252</v>
      </c>
    </row>
    <row r="14" spans="1:4">
      <c r="A14" t="s">
        <v>117</v>
      </c>
    </row>
    <row r="15" spans="1:4">
      <c r="A15" t="s">
        <v>20</v>
      </c>
    </row>
    <row r="16" spans="1:4">
      <c r="A16" t="s">
        <v>131</v>
      </c>
    </row>
    <row r="17" spans="1:5">
      <c r="A17" t="s">
        <v>132</v>
      </c>
    </row>
    <row r="18" spans="1:5">
      <c r="A18" t="s">
        <v>133</v>
      </c>
    </row>
    <row r="19" spans="1:5">
      <c r="A19" t="s">
        <v>134</v>
      </c>
    </row>
    <row r="21" spans="1:5">
      <c r="A21" t="s">
        <v>135</v>
      </c>
    </row>
    <row r="23" spans="1:5">
      <c r="A23" t="s">
        <v>15</v>
      </c>
    </row>
    <row r="24" spans="1:5">
      <c r="A24" t="s">
        <v>9</v>
      </c>
    </row>
    <row r="25" spans="1:5">
      <c r="A25" s="142" t="s">
        <v>140</v>
      </c>
    </row>
    <row r="26" spans="1:5">
      <c r="A26" s="147" t="s">
        <v>38</v>
      </c>
      <c r="B26" s="148" t="s">
        <v>136</v>
      </c>
      <c r="C26" s="148" t="s">
        <v>137</v>
      </c>
      <c r="D26" s="148" t="s">
        <v>138</v>
      </c>
      <c r="E26" s="148" t="s">
        <v>139</v>
      </c>
    </row>
    <row r="27" spans="1:5">
      <c r="A27" s="152">
        <v>100</v>
      </c>
      <c r="B27" s="153">
        <f t="array" ref="B27:E27">bsvec2(D5,D6,D7,D8,D9,D10)</f>
        <v>8.6276740295600174</v>
      </c>
      <c r="C27" s="153">
        <v>0.4926858041732724</v>
      </c>
      <c r="D27" s="153">
        <v>10.549284934339425</v>
      </c>
      <c r="E27" s="153">
        <v>-0.45854362032744167</v>
      </c>
    </row>
    <row r="28" spans="1:5">
      <c r="A28" s="119">
        <v>81</v>
      </c>
      <c r="B28" s="145">
        <f t="dataTable" ref="B28:E67" dt2D="0" dtr="0" r1="D5"/>
        <v>2.0715111623161073</v>
      </c>
      <c r="C28" s="145">
        <v>0.20210663924832648</v>
      </c>
      <c r="D28" s="145">
        <v>22.066481132609095</v>
      </c>
      <c r="E28" s="145">
        <v>-0.74912278525238751</v>
      </c>
    </row>
    <row r="29" spans="1:5">
      <c r="A29" s="119">
        <v>82</v>
      </c>
      <c r="B29" s="145">
        <v>2.2804936374147933</v>
      </c>
      <c r="C29" s="145">
        <v>0.21591742500948957</v>
      </c>
      <c r="D29" s="145">
        <v>21.324234183207064</v>
      </c>
      <c r="E29" s="145">
        <v>-0.73531199949122439</v>
      </c>
    </row>
    <row r="30" spans="1:5">
      <c r="A30" s="119">
        <v>83</v>
      </c>
      <c r="B30" s="145">
        <v>2.5034594253104587</v>
      </c>
      <c r="C30" s="145">
        <v>0.23006840929799521</v>
      </c>
      <c r="D30" s="145">
        <v>20.595970546602008</v>
      </c>
      <c r="E30" s="145">
        <v>-0.7211610152027188</v>
      </c>
    </row>
    <row r="31" spans="1:5">
      <c r="A31" s="119">
        <v>84</v>
      </c>
      <c r="B31" s="145">
        <v>2.740733968019923</v>
      </c>
      <c r="C31" s="145">
        <v>0.24452989728182725</v>
      </c>
      <c r="D31" s="145">
        <v>19.882015664810762</v>
      </c>
      <c r="E31" s="145">
        <v>-0.70669952721888674</v>
      </c>
    </row>
    <row r="32" spans="1:5">
      <c r="A32" s="119">
        <v>85</v>
      </c>
      <c r="B32" s="145">
        <v>2.9926125075124865</v>
      </c>
      <c r="C32" s="145">
        <v>0.25927122381843209</v>
      </c>
      <c r="D32" s="145">
        <v>19.182664779802614</v>
      </c>
      <c r="E32" s="145">
        <v>-0.69195820068228198</v>
      </c>
    </row>
    <row r="33" spans="1:5">
      <c r="A33" s="119">
        <v>86</v>
      </c>
      <c r="B33" s="145">
        <v>3.2593592351436311</v>
      </c>
      <c r="C33" s="145">
        <v>0.27426099223984551</v>
      </c>
      <c r="D33" s="145">
        <v>18.498182082933042</v>
      </c>
      <c r="E33" s="145">
        <v>-0.67696843226086845</v>
      </c>
    </row>
    <row r="34" spans="1:5">
      <c r="A34" s="119">
        <v>87</v>
      </c>
      <c r="B34" s="145">
        <v>3.5412066773473763</v>
      </c>
      <c r="C34" s="145">
        <v>0.28946730767817203</v>
      </c>
      <c r="D34" s="145">
        <v>17.828800100636077</v>
      </c>
      <c r="E34" s="145">
        <v>-0.66176211682254193</v>
      </c>
    </row>
    <row r="35" spans="1:5">
      <c r="A35" s="119">
        <v>88</v>
      </c>
      <c r="B35" s="145">
        <v>3.838355310956941</v>
      </c>
      <c r="C35" s="145">
        <v>0.30485800263986956</v>
      </c>
      <c r="D35" s="145">
        <v>17.174719309744919</v>
      </c>
      <c r="E35" s="145">
        <v>-0.6463714218608444</v>
      </c>
    </row>
    <row r="36" spans="1:5">
      <c r="A36" s="119">
        <v>89</v>
      </c>
      <c r="B36" s="145">
        <v>4.150973399382619</v>
      </c>
      <c r="C36" s="145">
        <v>0.32040085283960812</v>
      </c>
      <c r="D36" s="145">
        <v>16.536107973669885</v>
      </c>
      <c r="E36" s="145">
        <v>-0.63082857166110584</v>
      </c>
    </row>
    <row r="37" spans="1:5">
      <c r="A37" s="119">
        <v>90</v>
      </c>
      <c r="B37" s="145">
        <v>4.4791970390383069</v>
      </c>
      <c r="C37" s="145">
        <v>0.33606378160820527</v>
      </c>
      <c r="D37" s="145">
        <v>15.913102188824855</v>
      </c>
      <c r="E37" s="145">
        <v>-0.61516564289250875</v>
      </c>
    </row>
    <row r="38" spans="1:5">
      <c r="A38" s="119">
        <v>91</v>
      </c>
      <c r="B38" s="145">
        <v>4.8231304038733889</v>
      </c>
      <c r="C38" s="145">
        <v>0.35181505148847231</v>
      </c>
      <c r="D38" s="145">
        <v>15.305806129159233</v>
      </c>
      <c r="E38" s="145">
        <v>-0.59941437301224165</v>
      </c>
    </row>
    <row r="39" spans="1:5">
      <c r="A39" s="119">
        <v>92</v>
      </c>
      <c r="B39" s="145">
        <v>5.1828461746256655</v>
      </c>
      <c r="C39" s="145">
        <v>0.36762344192277174</v>
      </c>
      <c r="D39" s="145">
        <v>14.714292475410792</v>
      </c>
      <c r="E39" s="145">
        <v>-0.58360598257794227</v>
      </c>
    </row>
    <row r="40" spans="1:5">
      <c r="A40" s="119">
        <v>93</v>
      </c>
      <c r="B40" s="145">
        <v>5.5583861384552975</v>
      </c>
      <c r="C40" s="145">
        <v>0.38345841221260468</v>
      </c>
      <c r="D40" s="145">
        <v>14.13860301473971</v>
      </c>
      <c r="E40" s="145">
        <v>-0.56777101228810933</v>
      </c>
    </row>
    <row r="41" spans="1:5">
      <c r="A41" s="119">
        <v>94</v>
      </c>
      <c r="B41" s="145">
        <v>5.94976194393052</v>
      </c>
      <c r="C41" s="145">
        <v>0.3992902491903314</v>
      </c>
      <c r="D41" s="145">
        <v>13.578749395714219</v>
      </c>
      <c r="E41" s="145">
        <v>-0.55193917531038261</v>
      </c>
    </row>
    <row r="42" spans="1:5">
      <c r="A42" s="119">
        <v>95</v>
      </c>
      <c r="B42" s="155">
        <v>6.3569559958987902</v>
      </c>
      <c r="C42" s="155">
        <v>0.41509019928370638</v>
      </c>
      <c r="D42" s="155">
        <v>13.034714023181769</v>
      </c>
      <c r="E42" s="155">
        <v>-0.53613922521700774</v>
      </c>
    </row>
    <row r="43" spans="1:5">
      <c r="A43" s="119">
        <v>96</v>
      </c>
      <c r="B43" s="155">
        <v>6.7799224745686208</v>
      </c>
      <c r="C43" s="155">
        <v>0.43083058487347903</v>
      </c>
      <c r="D43" s="155">
        <v>12.50645107735089</v>
      </c>
      <c r="E43" s="155">
        <v>-0.52039883962723499</v>
      </c>
    </row>
    <row r="44" spans="1:5">
      <c r="A44" s="119">
        <v>97</v>
      </c>
      <c r="B44" s="155">
        <v>7.2185884631286967</v>
      </c>
      <c r="C44" s="155">
        <v>0.44648490504177857</v>
      </c>
      <c r="D44" s="155">
        <v>11.993887641410254</v>
      </c>
      <c r="E44" s="155">
        <v>-0.5047445194589355</v>
      </c>
    </row>
    <row r="45" spans="1:5">
      <c r="A45" s="119">
        <v>98</v>
      </c>
      <c r="B45" s="155">
        <v>7.6728551684175894</v>
      </c>
      <c r="C45" s="155">
        <v>0.46202792098376394</v>
      </c>
      <c r="D45" s="155">
        <v>11.496924922198437</v>
      </c>
      <c r="E45" s="155">
        <v>-0.48920150351695008</v>
      </c>
    </row>
    <row r="46" spans="1:5">
      <c r="A46" s="119">
        <v>99</v>
      </c>
      <c r="B46" s="155">
        <v>8.1425992195079324</v>
      </c>
      <c r="C46" s="155">
        <v>0.47743572650707233</v>
      </c>
      <c r="D46" s="155">
        <v>11.015439548788054</v>
      </c>
      <c r="E46" s="155">
        <v>-0.47379369799364168</v>
      </c>
    </row>
    <row r="47" spans="1:5">
      <c r="A47" s="119">
        <v>100</v>
      </c>
      <c r="B47" s="155">
        <v>8.6276740295600174</v>
      </c>
      <c r="C47" s="155">
        <v>0.4926858041732724</v>
      </c>
      <c r="D47" s="155">
        <v>10.549284934339425</v>
      </c>
      <c r="E47" s="155">
        <v>-0.45854362032744167</v>
      </c>
    </row>
    <row r="48" spans="1:5">
      <c r="A48" s="119">
        <v>101</v>
      </c>
      <c r="B48" s="155">
        <v>9.127911206909797</v>
      </c>
      <c r="C48" s="155">
        <v>0.50775706774356788</v>
      </c>
      <c r="D48" s="155">
        <v>10.098292687188497</v>
      </c>
      <c r="E48" s="155">
        <v>-0.44347235675714614</v>
      </c>
    </row>
    <row r="49" spans="1:5">
      <c r="A49" s="119">
        <v>102</v>
      </c>
      <c r="B49" s="155">
        <v>9.6431220020640911</v>
      </c>
      <c r="C49" s="155">
        <v>0.52262989167840623</v>
      </c>
      <c r="D49" s="155">
        <v>9.6622740578420654</v>
      </c>
      <c r="E49" s="155">
        <v>-0.42859953282230784</v>
      </c>
    </row>
    <row r="50" spans="1:5">
      <c r="A50" s="119">
        <v>103</v>
      </c>
      <c r="B50" s="155">
        <v>10.173098778060476</v>
      </c>
      <c r="C50" s="155">
        <v>0.5372861285086511</v>
      </c>
      <c r="D50" s="155">
        <v>9.241021409337737</v>
      </c>
      <c r="E50" s="155">
        <v>-0.41394329599206292</v>
      </c>
    </row>
    <row r="51" spans="1:5">
      <c r="A51" s="119">
        <v>104</v>
      </c>
      <c r="B51" s="155">
        <v>10.717616492494248</v>
      </c>
      <c r="C51" s="155">
        <v>0.55170911494598818</v>
      </c>
      <c r="D51" s="155">
        <v>8.8343096992707935</v>
      </c>
      <c r="E51" s="155">
        <v>-0.39952030955472589</v>
      </c>
    </row>
    <row r="52" spans="1:5">
      <c r="A52" s="119">
        <v>105</v>
      </c>
      <c r="B52" s="155">
        <v>11.27643418039974</v>
      </c>
      <c r="C52" s="155">
        <v>0.56588366763374154</v>
      </c>
      <c r="D52" s="155">
        <v>8.4418979626755881</v>
      </c>
      <c r="E52" s="155">
        <v>-0.38534575686697253</v>
      </c>
    </row>
    <row r="53" spans="1:5">
      <c r="A53" s="119">
        <v>106</v>
      </c>
      <c r="B53" s="155">
        <v>11.849296428085603</v>
      </c>
      <c r="C53" s="155">
        <v>0.57979606945787621</v>
      </c>
      <c r="D53" s="155">
        <v>8.063530785860733</v>
      </c>
      <c r="E53" s="155">
        <v>-0.37143335504283781</v>
      </c>
    </row>
    <row r="54" spans="1:5">
      <c r="A54" s="119">
        <v>107</v>
      </c>
      <c r="B54" s="155">
        <v>12.435934828946623</v>
      </c>
      <c r="C54" s="155">
        <v>0.5934340473432399</v>
      </c>
      <c r="D54" s="155">
        <v>7.6989397622210376</v>
      </c>
      <c r="E54" s="155">
        <v>-0.35779537715747411</v>
      </c>
    </row>
    <row r="55" spans="1:5">
      <c r="A55" s="119">
        <v>108</v>
      </c>
      <c r="B55" s="155">
        <v>13.036069413197803</v>
      </c>
      <c r="C55" s="155">
        <v>0.60678674245366382</v>
      </c>
      <c r="D55" s="155">
        <v>7.3478449219715047</v>
      </c>
      <c r="E55" s="155">
        <v>-0.3444426820470502</v>
      </c>
    </row>
    <row r="56" spans="1:5">
      <c r="A56" s="119">
        <v>109</v>
      </c>
      <c r="B56" s="155">
        <v>13.64941004438718</v>
      </c>
      <c r="C56" s="155">
        <v>0.61984467369795127</v>
      </c>
      <c r="D56" s="155">
        <v>7.0099561286601668</v>
      </c>
      <c r="E56" s="155">
        <v>-0.3313847508027627</v>
      </c>
    </row>
    <row r="57" spans="1:5">
      <c r="A57" s="119">
        <v>110</v>
      </c>
      <c r="B57" s="155">
        <v>14.275657776434203</v>
      </c>
      <c r="C57" s="155">
        <v>0.63259969541854433</v>
      </c>
      <c r="D57" s="155">
        <v>6.6849744362064758</v>
      </c>
      <c r="E57" s="155">
        <v>-0.31862972908216974</v>
      </c>
    </row>
    <row r="58" spans="1:5">
      <c r="A58" s="119">
        <v>111</v>
      </c>
      <c r="B58" s="155">
        <v>14.914506165801374</v>
      </c>
      <c r="C58" s="155">
        <v>0.64504495010720375</v>
      </c>
      <c r="D58" s="155">
        <v>6.3725934010729333</v>
      </c>
      <c r="E58" s="155">
        <v>-0.30618447439351032</v>
      </c>
    </row>
    <row r="59" spans="1:5">
      <c r="A59" s="119">
        <v>112</v>
      </c>
      <c r="B59" s="155">
        <v>15.565642534232767</v>
      </c>
      <c r="C59" s="155">
        <v>0.65717481695370961</v>
      </c>
      <c r="D59" s="155">
        <v>6.0725003450036015</v>
      </c>
      <c r="E59" s="155">
        <v>-0.29405460754700452</v>
      </c>
    </row>
    <row r="60" spans="1:5">
      <c r="A60" s="119">
        <v>113</v>
      </c>
      <c r="B60" s="155">
        <v>16.228749178277376</v>
      </c>
      <c r="C60" s="155">
        <v>0.66898485699062171</v>
      </c>
      <c r="D60" s="155">
        <v>5.7843775645475066</v>
      </c>
      <c r="E60" s="155">
        <v>-0.28224456751009225</v>
      </c>
    </row>
    <row r="61" spans="1:5">
      <c r="A61" s="119">
        <v>114</v>
      </c>
      <c r="B61" s="155">
        <v>16.90350452255613</v>
      </c>
      <c r="C61" s="155">
        <v>0.68047175555069883</v>
      </c>
      <c r="D61" s="155">
        <v>5.5079034843255457</v>
      </c>
      <c r="E61" s="155">
        <v>-0.27075766895001518</v>
      </c>
    </row>
    <row r="62" spans="1:5">
      <c r="A62" s="119">
        <v>115</v>
      </c>
      <c r="B62" s="155">
        <v>17.589584214422604</v>
      </c>
      <c r="C62" s="155">
        <v>0.69163326270464853</v>
      </c>
      <c r="D62" s="155">
        <v>5.2427537516913088</v>
      </c>
      <c r="E62" s="155">
        <v>-0.25959616179606548</v>
      </c>
    </row>
    <row r="63" spans="1:5">
      <c r="A63" s="119">
        <v>116</v>
      </c>
      <c r="B63" s="155">
        <v>18.286662158311263</v>
      </c>
      <c r="C63" s="155">
        <v>0.70246813229645755</v>
      </c>
      <c r="D63" s="155">
        <v>4.9886022710792535</v>
      </c>
      <c r="E63" s="155">
        <v>-0.24876129220425644</v>
      </c>
    </row>
    <row r="64" spans="1:5">
      <c r="A64" s="119">
        <v>117</v>
      </c>
      <c r="B64" s="155">
        <v>18.99441148865764</v>
      </c>
      <c r="C64" s="155">
        <v>0.71297606014237447</v>
      </c>
      <c r="D64" s="155">
        <v>4.7451221769249141</v>
      </c>
      <c r="E64" s="155">
        <v>-0.23825336435833949</v>
      </c>
    </row>
    <row r="65" spans="1:5">
      <c r="A65" s="119">
        <v>118</v>
      </c>
      <c r="B65" s="155">
        <v>19.712505480816045</v>
      </c>
      <c r="C65" s="155">
        <v>0.72315762190846589</v>
      </c>
      <c r="D65" s="155">
        <v>4.5119867445826065</v>
      </c>
      <c r="E65" s="155">
        <v>-0.2280718025922481</v>
      </c>
    </row>
    <row r="66" spans="1:5">
      <c r="A66" s="119">
        <v>119</v>
      </c>
      <c r="B66" s="155">
        <v>20.440618399889672</v>
      </c>
      <c r="C66" s="155">
        <v>0.73301421113111831</v>
      </c>
      <c r="D66" s="155">
        <v>4.2888702391555213</v>
      </c>
      <c r="E66" s="155">
        <v>-0.21821521336959565</v>
      </c>
    </row>
    <row r="67" spans="1:5">
      <c r="A67" s="119">
        <v>120</v>
      </c>
      <c r="B67" s="155">
        <v>21.17842628782768</v>
      </c>
      <c r="C67" s="155">
        <v>0.74254797779544579</v>
      </c>
      <c r="D67" s="155">
        <v>4.0754487025928192</v>
      </c>
      <c r="E67" s="155">
        <v>-0.20868144670526817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F25"/>
  <sheetViews>
    <sheetView workbookViewId="0">
      <selection activeCell="F4" sqref="F4"/>
    </sheetView>
  </sheetViews>
  <sheetFormatPr defaultColWidth="8.875" defaultRowHeight="16.5"/>
  <cols>
    <col min="1" max="1" width="27.375" customWidth="1"/>
    <col min="5" max="5" width="10.375" customWidth="1"/>
    <col min="6" max="6" width="9.5" customWidth="1"/>
  </cols>
  <sheetData>
    <row r="1" spans="1:32">
      <c r="A1" s="160" t="s">
        <v>185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</row>
    <row r="2" spans="1:32">
      <c r="A2" s="160"/>
      <c r="B2" s="160"/>
      <c r="C2" s="160"/>
      <c r="D2" s="160"/>
      <c r="E2" s="160"/>
      <c r="F2" s="160"/>
      <c r="G2" s="160"/>
      <c r="H2" s="223" t="s">
        <v>186</v>
      </c>
      <c r="I2" s="160"/>
      <c r="J2" s="160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</row>
    <row r="3" spans="1:32">
      <c r="A3" s="160"/>
      <c r="B3" s="160"/>
      <c r="C3" s="160"/>
      <c r="D3" s="160"/>
      <c r="E3" s="160" t="s">
        <v>187</v>
      </c>
      <c r="F3" s="160" t="s">
        <v>188</v>
      </c>
      <c r="G3" s="160"/>
      <c r="H3" s="223" t="s">
        <v>175</v>
      </c>
      <c r="I3" s="223" t="s">
        <v>189</v>
      </c>
      <c r="J3" s="223" t="s">
        <v>190</v>
      </c>
      <c r="K3" s="223" t="s">
        <v>156</v>
      </c>
      <c r="L3" s="160"/>
      <c r="M3" s="160"/>
      <c r="N3" s="160"/>
      <c r="O3" s="160"/>
      <c r="P3" s="160"/>
      <c r="Q3" s="160"/>
      <c r="R3" s="160"/>
      <c r="S3" s="160"/>
      <c r="T3" s="223" t="s">
        <v>191</v>
      </c>
      <c r="U3" s="160"/>
      <c r="V3" s="160"/>
      <c r="W3" s="160"/>
      <c r="X3" s="160"/>
      <c r="Y3" s="160"/>
      <c r="Z3" s="160"/>
      <c r="AA3" s="160"/>
      <c r="AB3" s="160"/>
      <c r="AC3" s="160"/>
      <c r="AD3" s="223" t="s">
        <v>192</v>
      </c>
      <c r="AE3" s="160"/>
      <c r="AF3" s="160"/>
    </row>
    <row r="4" spans="1:32">
      <c r="A4" s="160" t="s">
        <v>38</v>
      </c>
      <c r="B4" s="160">
        <v>50</v>
      </c>
      <c r="C4" s="160"/>
      <c r="D4" s="160" t="s">
        <v>22</v>
      </c>
      <c r="E4" s="160">
        <f>S*eqt*NdOne-K*ert*NdTwo</f>
        <v>5.9315509111302411</v>
      </c>
      <c r="F4" s="160">
        <f>-S*eqt*NmdOne+K*ert*NmdTwo</f>
        <v>5.1908606168338842</v>
      </c>
      <c r="G4" s="160"/>
      <c r="H4" s="225">
        <v>50</v>
      </c>
      <c r="I4" s="225">
        <f>E5</f>
        <v>0.57421168931505495</v>
      </c>
      <c r="J4" s="225">
        <f>F5</f>
        <v>-0.42080078987762742</v>
      </c>
      <c r="K4" s="225">
        <f>E6</f>
        <v>2.7543093444572255E-2</v>
      </c>
      <c r="L4" s="160"/>
      <c r="M4" s="160"/>
      <c r="N4" s="160"/>
      <c r="O4" s="160"/>
      <c r="P4" s="160"/>
      <c r="Q4" s="160"/>
      <c r="R4" s="160"/>
      <c r="S4" s="160"/>
      <c r="T4" s="223" t="s">
        <v>193</v>
      </c>
      <c r="U4" s="223" t="s">
        <v>194</v>
      </c>
      <c r="V4" s="160"/>
      <c r="W4" s="160"/>
      <c r="X4" s="160"/>
      <c r="Y4" s="160"/>
      <c r="Z4" s="160"/>
      <c r="AA4" s="160"/>
      <c r="AB4" s="160"/>
      <c r="AC4" s="160"/>
      <c r="AD4" s="223" t="s">
        <v>195</v>
      </c>
      <c r="AE4" s="223" t="s">
        <v>196</v>
      </c>
      <c r="AF4" s="223" t="s">
        <v>197</v>
      </c>
    </row>
    <row r="5" spans="1:32">
      <c r="A5" s="160" t="s">
        <v>198</v>
      </c>
      <c r="B5" s="160">
        <v>50</v>
      </c>
      <c r="C5" s="160"/>
      <c r="D5" s="160" t="s">
        <v>199</v>
      </c>
      <c r="E5" s="160">
        <f>eqt*NdOne</f>
        <v>0.57421168931505495</v>
      </c>
      <c r="F5" s="160">
        <f>eqt*(NdOne-1)</f>
        <v>-0.42080078987762742</v>
      </c>
      <c r="G5" s="160"/>
      <c r="H5" s="224">
        <v>5</v>
      </c>
      <c r="I5" s="160">
        <f t="dataTable" ref="I5:K25" dt2D="0" dtr="0" r1="B4"/>
        <v>9.5515792491160232E-16</v>
      </c>
      <c r="J5" s="160">
        <v>-0.99501247919268132</v>
      </c>
      <c r="K5" s="160">
        <v>5.4494903054694039E-15</v>
      </c>
      <c r="L5" s="160"/>
      <c r="M5" s="160"/>
      <c r="N5" s="160"/>
      <c r="O5" s="160"/>
      <c r="P5" s="160"/>
      <c r="Q5" s="160"/>
      <c r="R5" s="160"/>
      <c r="S5" s="160"/>
      <c r="T5" s="227">
        <v>0.4</v>
      </c>
      <c r="U5" s="228">
        <f>E7</f>
        <v>13.771546722286129</v>
      </c>
      <c r="V5" s="160"/>
      <c r="W5" s="160"/>
      <c r="X5" s="160"/>
      <c r="Y5" s="160"/>
      <c r="Z5" s="160"/>
      <c r="AA5" s="160"/>
      <c r="AB5" s="160"/>
      <c r="AC5" s="160"/>
      <c r="AD5" s="225">
        <v>0.04</v>
      </c>
      <c r="AE5" s="225">
        <f>E8</f>
        <v>11.389516777311254</v>
      </c>
      <c r="AF5" s="225">
        <f>F8</f>
        <v>-13.115450055357627</v>
      </c>
    </row>
    <row r="6" spans="1:32">
      <c r="A6" s="160" t="s">
        <v>200</v>
      </c>
      <c r="B6" s="160">
        <v>0.01</v>
      </c>
      <c r="C6" s="160"/>
      <c r="D6" s="160" t="s">
        <v>156</v>
      </c>
      <c r="E6" s="160">
        <f>NpdOne*eqt/(S*V*SQRT(T))</f>
        <v>2.7543093444572255E-2</v>
      </c>
      <c r="F6" s="160">
        <f>NpdOne*eqt/(S*V*SQRT(T))</f>
        <v>2.7543093444572255E-2</v>
      </c>
      <c r="G6" s="160"/>
      <c r="H6" s="224">
        <v>10</v>
      </c>
      <c r="I6" s="160">
        <v>1.9353678492739052E-8</v>
      </c>
      <c r="J6" s="160">
        <v>-0.99501245983900388</v>
      </c>
      <c r="K6" s="160">
        <v>3.8778806971402077E-8</v>
      </c>
      <c r="L6" s="160"/>
      <c r="M6" s="160"/>
      <c r="N6" s="160"/>
      <c r="O6" s="160"/>
      <c r="P6" s="160"/>
      <c r="Q6" s="160"/>
      <c r="R6" s="160"/>
      <c r="S6" s="160"/>
      <c r="T6" s="229">
        <v>0.05</v>
      </c>
      <c r="U6" s="226">
        <f t="dataTable" ref="U6:U21" dt2D="0" dtr="0" r1="B8" ca="1"/>
        <v>12.728640755205181</v>
      </c>
      <c r="V6" s="160"/>
      <c r="W6" s="160"/>
      <c r="X6" s="160"/>
      <c r="Y6" s="160"/>
      <c r="Z6" s="160"/>
      <c r="AA6" s="160"/>
      <c r="AB6" s="160"/>
      <c r="AC6" s="160"/>
      <c r="AD6" s="230">
        <v>5.0000000000000001E-3</v>
      </c>
      <c r="AE6" s="160">
        <f t="dataTable" ref="AE6:AF21" dt2D="0" dtr="0" r1="B9" ca="1"/>
        <v>10.979508630384377</v>
      </c>
      <c r="AF6" s="160">
        <v>-13.958069429552125</v>
      </c>
    </row>
    <row r="7" spans="1:32">
      <c r="A7" s="160" t="s">
        <v>201</v>
      </c>
      <c r="B7" s="160">
        <v>0.5</v>
      </c>
      <c r="C7" s="160"/>
      <c r="D7" s="160" t="s">
        <v>194</v>
      </c>
      <c r="E7" s="160">
        <f>S*SQRT(T)*NpdOne*eqt</f>
        <v>13.771546722286129</v>
      </c>
      <c r="F7" s="160">
        <f>S*SQRT(T)*NpdOne*eqt</f>
        <v>13.771546722286129</v>
      </c>
      <c r="G7" s="160"/>
      <c r="H7" s="224">
        <v>15</v>
      </c>
      <c r="I7" s="160">
        <v>2.4181624558529925E-5</v>
      </c>
      <c r="J7" s="160">
        <v>-0.99498829756812379</v>
      </c>
      <c r="K7" s="160">
        <v>2.4422882227639238E-5</v>
      </c>
      <c r="L7" s="160"/>
      <c r="M7" s="160"/>
      <c r="N7" s="160"/>
      <c r="O7" s="160"/>
      <c r="P7" s="160"/>
      <c r="Q7" s="160"/>
      <c r="R7" s="160"/>
      <c r="S7" s="160"/>
      <c r="T7" s="229">
        <v>0.1</v>
      </c>
      <c r="U7" s="226">
        <v>13.611103343183323</v>
      </c>
      <c r="V7" s="160"/>
      <c r="W7" s="160"/>
      <c r="X7" s="160"/>
      <c r="Y7" s="160"/>
      <c r="Z7" s="160"/>
      <c r="AA7" s="160"/>
      <c r="AB7" s="160"/>
      <c r="AC7" s="160"/>
      <c r="AD7" s="230">
        <v>0.01</v>
      </c>
      <c r="AE7" s="160">
        <v>11.038880928851128</v>
      </c>
      <c r="AF7" s="160">
        <v>-13.836431050965933</v>
      </c>
    </row>
    <row r="8" spans="1:32">
      <c r="A8" s="160" t="s">
        <v>202</v>
      </c>
      <c r="B8" s="160">
        <v>0.4</v>
      </c>
      <c r="C8" s="160"/>
      <c r="D8" s="160" t="s">
        <v>203</v>
      </c>
      <c r="E8" s="160">
        <f>K*T*ert*NdTwo</f>
        <v>11.389516777311254</v>
      </c>
      <c r="F8" s="160">
        <f>-K*T*ert*NmdTwo</f>
        <v>-13.115450055357627</v>
      </c>
      <c r="G8" s="160"/>
      <c r="H8" s="224">
        <v>20</v>
      </c>
      <c r="I8" s="160">
        <v>1.1571273212652724E-3</v>
      </c>
      <c r="J8" s="160">
        <v>-0.99385535187141705</v>
      </c>
      <c r="K8" s="160">
        <v>6.8015335396620549E-4</v>
      </c>
      <c r="L8" s="160"/>
      <c r="M8" s="160"/>
      <c r="N8" s="160"/>
      <c r="O8" s="160"/>
      <c r="P8" s="160"/>
      <c r="Q8" s="160"/>
      <c r="R8" s="160"/>
      <c r="S8" s="160"/>
      <c r="T8" s="229">
        <v>0.15</v>
      </c>
      <c r="U8" s="226">
        <v>13.771546722286129</v>
      </c>
      <c r="V8" s="160"/>
      <c r="W8" s="160"/>
      <c r="X8" s="160"/>
      <c r="Y8" s="160"/>
      <c r="Z8" s="160"/>
      <c r="AA8" s="160"/>
      <c r="AB8" s="160"/>
      <c r="AC8" s="160"/>
      <c r="AD8" s="230">
        <v>1.4999999999999999E-2</v>
      </c>
      <c r="AE8" s="160">
        <v>11.097996565539605</v>
      </c>
      <c r="AF8" s="160">
        <v>-13.715204804938855</v>
      </c>
    </row>
    <row r="9" spans="1:32">
      <c r="A9" s="160" t="s">
        <v>204</v>
      </c>
      <c r="B9" s="160">
        <v>0.04</v>
      </c>
      <c r="C9" s="160"/>
      <c r="D9" s="160"/>
      <c r="E9" s="160"/>
      <c r="F9" s="160"/>
      <c r="G9" s="160"/>
      <c r="H9" s="224">
        <v>25</v>
      </c>
      <c r="I9" s="160">
        <v>1.1969339607477E-2</v>
      </c>
      <c r="J9" s="160">
        <v>-0.98304313958520539</v>
      </c>
      <c r="K9" s="160">
        <v>4.4044101365281621E-3</v>
      </c>
      <c r="L9" s="160"/>
      <c r="M9" s="160"/>
      <c r="N9" s="160"/>
      <c r="O9" s="160"/>
      <c r="P9" s="160"/>
      <c r="Q9" s="160"/>
      <c r="R9" s="160"/>
      <c r="S9" s="160"/>
      <c r="T9" s="229">
        <v>0.2</v>
      </c>
      <c r="U9" s="226">
        <v>13.816808827500083</v>
      </c>
      <c r="V9" s="160"/>
      <c r="W9" s="160"/>
      <c r="X9" s="160"/>
      <c r="Y9" s="160"/>
      <c r="Z9" s="160"/>
      <c r="AA9" s="160"/>
      <c r="AB9" s="160"/>
      <c r="AC9" s="160"/>
      <c r="AD9" s="230">
        <v>0.02</v>
      </c>
      <c r="AE9" s="160">
        <v>11.156849553759505</v>
      </c>
      <c r="AF9" s="160">
        <v>-13.594396289969696</v>
      </c>
    </row>
    <row r="10" spans="1:32">
      <c r="A10" s="160"/>
      <c r="B10" s="160"/>
      <c r="C10" s="160"/>
      <c r="D10" s="160"/>
      <c r="E10" s="160"/>
      <c r="F10" s="160"/>
      <c r="G10" s="160"/>
      <c r="H10" s="224">
        <v>30</v>
      </c>
      <c r="I10" s="160">
        <v>5.3258964712539339E-2</v>
      </c>
      <c r="J10" s="160">
        <v>-0.94175351448014299</v>
      </c>
      <c r="K10" s="160">
        <v>1.2767175214500218E-2</v>
      </c>
      <c r="L10" s="160"/>
      <c r="M10" s="160"/>
      <c r="N10" s="160"/>
      <c r="O10" s="160"/>
      <c r="P10" s="160"/>
      <c r="Q10" s="160"/>
      <c r="R10" s="160"/>
      <c r="S10" s="160"/>
      <c r="T10" s="229">
        <v>0.25</v>
      </c>
      <c r="U10" s="226">
        <v>13.825360623401115</v>
      </c>
      <c r="V10" s="160"/>
      <c r="W10" s="160"/>
      <c r="X10" s="160"/>
      <c r="Y10" s="160"/>
      <c r="Z10" s="160"/>
      <c r="AA10" s="160"/>
      <c r="AB10" s="160"/>
      <c r="AC10" s="160"/>
      <c r="AD10" s="230">
        <v>2.5000000000000001E-2</v>
      </c>
      <c r="AE10" s="160">
        <v>11.215433948527837</v>
      </c>
      <c r="AF10" s="160">
        <v>-13.4740110638192</v>
      </c>
    </row>
    <row r="11" spans="1:32">
      <c r="A11" s="160" t="s">
        <v>205</v>
      </c>
      <c r="B11" s="160"/>
      <c r="C11" s="160"/>
      <c r="D11" s="248" t="s">
        <v>206</v>
      </c>
      <c r="E11" s="248"/>
      <c r="F11" s="248">
        <f>E4+K*ert-S*eqt</f>
        <v>5.1908606168338807</v>
      </c>
      <c r="G11" s="160"/>
      <c r="H11" s="224">
        <v>35</v>
      </c>
      <c r="I11" s="160">
        <v>0.14236670166149568</v>
      </c>
      <c r="J11" s="160">
        <v>-0.85264577753118664</v>
      </c>
      <c r="K11" s="160">
        <v>2.2703848162325724E-2</v>
      </c>
      <c r="L11" s="160"/>
      <c r="M11" s="160"/>
      <c r="N11" s="160"/>
      <c r="O11" s="160"/>
      <c r="P11" s="160"/>
      <c r="Q11" s="160"/>
      <c r="R11" s="160"/>
      <c r="S11" s="160"/>
      <c r="T11" s="229">
        <v>0.3</v>
      </c>
      <c r="U11" s="226">
        <v>13.816808827500083</v>
      </c>
      <c r="V11" s="160"/>
      <c r="W11" s="160"/>
      <c r="X11" s="160"/>
      <c r="Y11" s="160"/>
      <c r="Z11" s="160"/>
      <c r="AA11" s="160"/>
      <c r="AB11" s="160"/>
      <c r="AC11" s="160"/>
      <c r="AD11" s="230">
        <v>0.03</v>
      </c>
      <c r="AE11" s="160">
        <v>11.273743847974149</v>
      </c>
      <c r="AF11" s="160">
        <v>-13.354054642102415</v>
      </c>
    </row>
    <row r="12" spans="1:32">
      <c r="A12" s="160" t="s">
        <v>207</v>
      </c>
      <c r="B12" s="160">
        <f>EXP(-rr*T)</f>
        <v>0.98019867330675525</v>
      </c>
      <c r="C12" s="160"/>
      <c r="D12" s="160"/>
      <c r="E12" s="160"/>
      <c r="F12" s="160"/>
      <c r="G12" s="160"/>
      <c r="H12" s="224">
        <v>40</v>
      </c>
      <c r="I12" s="160">
        <v>0.27471944781510033</v>
      </c>
      <c r="J12" s="160">
        <v>-0.72029303137758194</v>
      </c>
      <c r="K12" s="160">
        <v>2.9403097538999459E-2</v>
      </c>
      <c r="L12" s="160"/>
      <c r="M12" s="160"/>
      <c r="N12" s="160"/>
      <c r="O12" s="160"/>
      <c r="P12" s="160"/>
      <c r="Q12" s="160"/>
      <c r="R12" s="160"/>
      <c r="S12" s="160"/>
      <c r="T12" s="229">
        <v>0.35</v>
      </c>
      <c r="U12" s="226">
        <v>13.79792056687714</v>
      </c>
      <c r="V12" s="160"/>
      <c r="W12" s="160"/>
      <c r="X12" s="160"/>
      <c r="Y12" s="160"/>
      <c r="Z12" s="160"/>
      <c r="AA12" s="160"/>
      <c r="AB12" s="160"/>
      <c r="AC12" s="160"/>
      <c r="AD12" s="230">
        <v>3.5000000000000003E-2</v>
      </c>
      <c r="AE12" s="160">
        <v>11.331773394731309</v>
      </c>
      <c r="AF12" s="160">
        <v>-13.234532496895518</v>
      </c>
    </row>
    <row r="13" spans="1:32">
      <c r="A13" s="160" t="s">
        <v>208</v>
      </c>
      <c r="B13" s="160">
        <f>EXP(-q*T)</f>
        <v>0.99501247919268232</v>
      </c>
      <c r="C13" s="160"/>
      <c r="D13" s="160"/>
      <c r="E13" s="160"/>
      <c r="F13" s="160"/>
      <c r="G13" s="160"/>
      <c r="H13" s="224">
        <v>45</v>
      </c>
      <c r="I13" s="160">
        <v>0.42719999084798604</v>
      </c>
      <c r="J13" s="160">
        <v>-0.56781248834469633</v>
      </c>
      <c r="K13" s="160">
        <v>3.0697077160213131E-2</v>
      </c>
      <c r="L13" s="160"/>
      <c r="M13" s="160"/>
      <c r="N13" s="160"/>
      <c r="O13" s="160"/>
      <c r="P13" s="160"/>
      <c r="Q13" s="160"/>
      <c r="R13" s="160"/>
      <c r="S13" s="160"/>
      <c r="T13" s="229">
        <v>0.4</v>
      </c>
      <c r="U13" s="226">
        <v>13.771546722286129</v>
      </c>
      <c r="V13" s="160"/>
      <c r="W13" s="160"/>
      <c r="X13" s="160"/>
      <c r="Y13" s="160"/>
      <c r="Z13" s="160"/>
      <c r="AA13" s="160"/>
      <c r="AB13" s="160"/>
      <c r="AC13" s="160"/>
      <c r="AD13" s="230">
        <v>0.04</v>
      </c>
      <c r="AE13" s="160">
        <v>11.389516777311254</v>
      </c>
      <c r="AF13" s="160">
        <v>-13.115450055357627</v>
      </c>
    </row>
    <row r="14" spans="1:32">
      <c r="A14" s="160" t="s">
        <v>209</v>
      </c>
      <c r="B14" s="160">
        <f>(rr-q+0.5*V^2)</f>
        <v>0.11000000000000001</v>
      </c>
      <c r="C14" s="160"/>
      <c r="D14" s="160"/>
      <c r="E14" s="160"/>
      <c r="F14" s="160"/>
      <c r="G14" s="160"/>
      <c r="H14" s="224">
        <v>50</v>
      </c>
      <c r="I14" s="160">
        <v>0.57421168931505495</v>
      </c>
      <c r="J14" s="160">
        <v>-0.42080078987762742</v>
      </c>
      <c r="K14" s="160">
        <v>2.7543093444572255E-2</v>
      </c>
      <c r="L14" s="160"/>
      <c r="M14" s="160"/>
      <c r="N14" s="160"/>
      <c r="O14" s="160"/>
      <c r="P14" s="160"/>
      <c r="Q14" s="160"/>
      <c r="R14" s="160"/>
      <c r="S14" s="160"/>
      <c r="T14" s="229">
        <v>0.45</v>
      </c>
      <c r="U14" s="226">
        <v>13.739068927232557</v>
      </c>
      <c r="V14" s="160"/>
      <c r="W14" s="160"/>
      <c r="X14" s="160"/>
      <c r="Y14" s="160"/>
      <c r="Z14" s="160"/>
      <c r="AA14" s="160"/>
      <c r="AB14" s="160"/>
      <c r="AC14" s="160"/>
      <c r="AD14" s="230">
        <v>4.4999999999999998E-2</v>
      </c>
      <c r="AE14" s="160">
        <v>11.446968231465286</v>
      </c>
      <c r="AF14" s="160">
        <v>-12.996812698368123</v>
      </c>
    </row>
    <row r="15" spans="1:32">
      <c r="A15" s="160"/>
      <c r="B15" s="160"/>
      <c r="C15" s="160"/>
      <c r="D15" s="160"/>
      <c r="E15" s="160"/>
      <c r="F15" s="160"/>
      <c r="G15" s="160"/>
      <c r="H15" s="224">
        <v>55</v>
      </c>
      <c r="I15" s="160">
        <v>0.69893502479215108</v>
      </c>
      <c r="J15" s="160">
        <v>-0.29607745440053124</v>
      </c>
      <c r="K15" s="160">
        <v>2.2156716848442472E-2</v>
      </c>
      <c r="L15" s="160"/>
      <c r="M15" s="160"/>
      <c r="N15" s="160"/>
      <c r="O15" s="160"/>
      <c r="P15" s="160"/>
      <c r="Q15" s="160"/>
      <c r="R15" s="160"/>
      <c r="S15" s="160"/>
      <c r="T15" s="229">
        <v>0.5</v>
      </c>
      <c r="U15" s="226">
        <v>13.701233728346311</v>
      </c>
      <c r="V15" s="160"/>
      <c r="W15" s="160"/>
      <c r="X15" s="160"/>
      <c r="Y15" s="160"/>
      <c r="Z15" s="160"/>
      <c r="AA15" s="160"/>
      <c r="AB15" s="160"/>
      <c r="AC15" s="160"/>
      <c r="AD15" s="230">
        <v>0.05</v>
      </c>
      <c r="AE15" s="160">
        <v>11.504122041528266</v>
      </c>
      <c r="AF15" s="160">
        <v>-12.87862575918005</v>
      </c>
    </row>
    <row r="16" spans="1:32">
      <c r="A16" s="160" t="s">
        <v>210</v>
      </c>
      <c r="B16" s="160">
        <f>(LN(S/K)+radj*T)/(V*SQRT(T))</f>
        <v>0.19445436482630055</v>
      </c>
      <c r="C16" s="160"/>
      <c r="D16" s="160"/>
      <c r="E16" s="160"/>
      <c r="F16" s="160"/>
      <c r="G16" s="160"/>
      <c r="H16" s="224">
        <v>60</v>
      </c>
      <c r="I16" s="160">
        <v>0.79529529933710519</v>
      </c>
      <c r="J16" s="160">
        <v>-0.19971717985557716</v>
      </c>
      <c r="K16" s="160">
        <v>1.6450025008192322E-2</v>
      </c>
      <c r="L16" s="160"/>
      <c r="M16" s="160"/>
      <c r="N16" s="160"/>
      <c r="O16" s="160"/>
      <c r="P16" s="160"/>
      <c r="Q16" s="160"/>
      <c r="R16" s="160"/>
      <c r="S16" s="160"/>
      <c r="T16" s="229">
        <v>0.55000000000000004</v>
      </c>
      <c r="U16" s="226">
        <v>13.658483498366675</v>
      </c>
      <c r="V16" s="160"/>
      <c r="W16" s="160"/>
      <c r="X16" s="160"/>
      <c r="Y16" s="160"/>
      <c r="Z16" s="160"/>
      <c r="AA16" s="160"/>
      <c r="AB16" s="160"/>
      <c r="AC16" s="160"/>
      <c r="AD16" s="230">
        <v>5.5E-2</v>
      </c>
      <c r="AE16" s="160">
        <v>11.560972541746329</v>
      </c>
      <c r="AF16" s="160">
        <v>-12.760894522090023</v>
      </c>
    </row>
    <row r="17" spans="1:32">
      <c r="A17" s="160" t="s">
        <v>211</v>
      </c>
      <c r="B17" s="160">
        <f>NORMSDIST(dOne)</f>
        <v>0.57708993738545855</v>
      </c>
      <c r="C17" s="160"/>
      <c r="D17" s="160"/>
      <c r="E17" s="160"/>
      <c r="F17" s="160"/>
      <c r="G17" s="160"/>
      <c r="H17" s="224">
        <v>65</v>
      </c>
      <c r="I17" s="160">
        <v>0.86474530561657537</v>
      </c>
      <c r="J17" s="160">
        <v>-0.1302671735761069</v>
      </c>
      <c r="K17" s="160">
        <v>1.1505133427623087E-2</v>
      </c>
      <c r="L17" s="160"/>
      <c r="M17" s="160"/>
      <c r="N17" s="160"/>
      <c r="O17" s="160"/>
      <c r="P17" s="160"/>
      <c r="Q17" s="160"/>
      <c r="R17" s="160"/>
      <c r="S17" s="160"/>
      <c r="T17" s="229">
        <v>0.6</v>
      </c>
      <c r="U17" s="226">
        <v>13.611103343183323</v>
      </c>
      <c r="V17" s="160"/>
      <c r="W17" s="160"/>
      <c r="X17" s="160"/>
      <c r="Y17" s="160"/>
      <c r="Z17" s="160"/>
      <c r="AA17" s="160"/>
      <c r="AB17" s="160"/>
      <c r="AC17" s="160"/>
      <c r="AD17" s="230">
        <v>0.06</v>
      </c>
      <c r="AE17" s="160">
        <v>11.617514117587517</v>
      </c>
      <c r="AF17" s="160">
        <v>-12.643624221125187</v>
      </c>
    </row>
    <row r="18" spans="1:32">
      <c r="A18" s="160" t="s">
        <v>212</v>
      </c>
      <c r="B18" s="160">
        <f>1-NdOne</f>
        <v>0.42291006261454145</v>
      </c>
      <c r="C18" s="160"/>
      <c r="D18" s="160"/>
      <c r="E18" s="160"/>
      <c r="F18" s="160"/>
      <c r="G18" s="160"/>
      <c r="H18" s="224">
        <v>70</v>
      </c>
      <c r="I18" s="160">
        <v>0.91225776242191403</v>
      </c>
      <c r="J18" s="160">
        <v>-8.2754716770768288E-2</v>
      </c>
      <c r="K18" s="160">
        <v>7.6934562170649879E-3</v>
      </c>
      <c r="L18" s="160"/>
      <c r="M18" s="160"/>
      <c r="N18" s="160"/>
      <c r="O18" s="160"/>
      <c r="P18" s="160"/>
      <c r="Q18" s="160"/>
      <c r="R18" s="160"/>
      <c r="S18" s="160"/>
      <c r="T18" s="229">
        <v>0.65</v>
      </c>
      <c r="U18" s="226">
        <v>13.559292254983138</v>
      </c>
      <c r="V18" s="160"/>
      <c r="W18" s="160"/>
      <c r="X18" s="160"/>
      <c r="Y18" s="160"/>
      <c r="Z18" s="160"/>
      <c r="AA18" s="160"/>
      <c r="AB18" s="160"/>
      <c r="AC18" s="160"/>
      <c r="AD18" s="230">
        <v>6.5000000000000002E-2</v>
      </c>
      <c r="AE18" s="160">
        <v>11.673741207034883</v>
      </c>
      <c r="AF18" s="160">
        <v>-12.526820038747768</v>
      </c>
    </row>
    <row r="19" spans="1:32">
      <c r="A19" s="160"/>
      <c r="B19" s="160"/>
      <c r="C19" s="160"/>
      <c r="D19" s="160"/>
      <c r="E19" s="160"/>
      <c r="F19" s="160"/>
      <c r="G19" s="160"/>
      <c r="H19" s="224">
        <v>75</v>
      </c>
      <c r="I19" s="160">
        <v>0.94350714788452261</v>
      </c>
      <c r="J19" s="160">
        <v>-5.1505331308159673E-2</v>
      </c>
      <c r="K19" s="160">
        <v>4.9729699184439882E-3</v>
      </c>
      <c r="L19" s="160"/>
      <c r="M19" s="160"/>
      <c r="N19" s="160"/>
      <c r="O19" s="160"/>
      <c r="P19" s="160"/>
      <c r="Q19" s="160"/>
      <c r="R19" s="160"/>
      <c r="S19" s="160"/>
      <c r="T19" s="229">
        <v>0.7</v>
      </c>
      <c r="U19" s="226">
        <v>13.50320005235799</v>
      </c>
      <c r="V19" s="160"/>
      <c r="W19" s="160"/>
      <c r="X19" s="160"/>
      <c r="Y19" s="160"/>
      <c r="Z19" s="160"/>
      <c r="AA19" s="160"/>
      <c r="AB19" s="160"/>
      <c r="AC19" s="160"/>
      <c r="AD19" s="230">
        <v>7.0000000000000007E-2</v>
      </c>
      <c r="AE19" s="160">
        <v>11.729648301861593</v>
      </c>
      <c r="AF19" s="160">
        <v>-12.410487104577568</v>
      </c>
    </row>
    <row r="20" spans="1:32">
      <c r="A20" s="160" t="s">
        <v>213</v>
      </c>
      <c r="B20" s="160">
        <f>dOne-(V*SQRT(T))</f>
        <v>-8.8388347648318516E-2</v>
      </c>
      <c r="C20" s="160"/>
      <c r="D20" s="160"/>
      <c r="E20" s="160"/>
      <c r="F20" s="160"/>
      <c r="G20" s="160"/>
      <c r="H20" s="224">
        <v>80</v>
      </c>
      <c r="I20" s="160">
        <v>0.96345585895495112</v>
      </c>
      <c r="J20" s="160">
        <v>-3.1556620237731148E-2</v>
      </c>
      <c r="K20" s="160">
        <v>3.1329478493938943E-3</v>
      </c>
      <c r="L20" s="160"/>
      <c r="M20" s="160"/>
      <c r="N20" s="160"/>
      <c r="O20" s="160"/>
      <c r="P20" s="160"/>
      <c r="Q20" s="160"/>
      <c r="R20" s="160"/>
      <c r="S20" s="160"/>
      <c r="T20" s="229">
        <v>0.75</v>
      </c>
      <c r="U20" s="226">
        <v>13.442947672839674</v>
      </c>
      <c r="V20" s="160"/>
      <c r="W20" s="160"/>
      <c r="X20" s="160"/>
      <c r="Y20" s="160"/>
      <c r="Z20" s="160"/>
      <c r="AA20" s="160"/>
      <c r="AB20" s="160"/>
      <c r="AC20" s="160"/>
      <c r="AD20" s="230">
        <v>7.4999999999999997E-2</v>
      </c>
      <c r="AE20" s="160">
        <v>11.785229948887512</v>
      </c>
      <c r="AF20" s="160">
        <v>-12.294630494133035</v>
      </c>
    </row>
    <row r="21" spans="1:32">
      <c r="A21" s="160" t="s">
        <v>214</v>
      </c>
      <c r="B21" s="160">
        <f>NORMSDIST(dTwo)</f>
        <v>0.46478401113880641</v>
      </c>
      <c r="C21" s="160"/>
      <c r="D21" s="160"/>
      <c r="E21" s="160"/>
      <c r="F21" s="160"/>
      <c r="G21" s="160"/>
      <c r="H21" s="224">
        <v>85</v>
      </c>
      <c r="I21" s="160">
        <v>0.97590587775885551</v>
      </c>
      <c r="J21" s="160">
        <v>-1.9106601433826802E-2</v>
      </c>
      <c r="K21" s="160">
        <v>1.9358122554822637E-3</v>
      </c>
      <c r="L21" s="160"/>
      <c r="M21" s="160"/>
      <c r="N21" s="160"/>
      <c r="O21" s="160"/>
      <c r="P21" s="160"/>
      <c r="Q21" s="160"/>
      <c r="R21" s="160"/>
      <c r="S21" s="160"/>
      <c r="T21" s="229">
        <v>0.8</v>
      </c>
      <c r="U21" s="226">
        <v>13.37863885150651</v>
      </c>
      <c r="V21" s="160"/>
      <c r="W21" s="160"/>
      <c r="X21" s="160"/>
      <c r="Y21" s="160"/>
      <c r="Z21" s="160"/>
      <c r="AA21" s="160"/>
      <c r="AB21" s="160"/>
      <c r="AC21" s="160"/>
      <c r="AD21" s="230">
        <v>0.08</v>
      </c>
      <c r="AE21" s="160">
        <v>11.840480751216838</v>
      </c>
      <c r="AF21" s="160">
        <v>-12.179255227591241</v>
      </c>
    </row>
    <row r="22" spans="1:32">
      <c r="A22" s="160" t="s">
        <v>215</v>
      </c>
      <c r="B22" s="160">
        <f>1-NdTwo</f>
        <v>0.53521598886119359</v>
      </c>
      <c r="C22" s="160"/>
      <c r="D22" s="160"/>
      <c r="E22" s="160"/>
      <c r="F22" s="160"/>
      <c r="G22" s="160"/>
      <c r="H22" s="224">
        <v>90</v>
      </c>
      <c r="I22" s="160">
        <v>0.98354463467770559</v>
      </c>
      <c r="J22" s="160">
        <v>-1.1467844514976679E-2</v>
      </c>
      <c r="K22" s="160">
        <v>1.1788383966403744E-3</v>
      </c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</row>
    <row r="23" spans="1:32">
      <c r="A23" s="160"/>
      <c r="B23" s="160"/>
      <c r="C23" s="160"/>
      <c r="D23" s="160"/>
      <c r="E23" s="160"/>
      <c r="F23" s="160"/>
      <c r="G23" s="160"/>
      <c r="H23" s="224">
        <v>95</v>
      </c>
      <c r="I23" s="160">
        <v>0.9881721780446121</v>
      </c>
      <c r="J23" s="160">
        <v>-6.840301148070267E-3</v>
      </c>
      <c r="K23" s="160">
        <v>7.1018541839033475E-4</v>
      </c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</row>
    <row r="24" spans="1:32">
      <c r="A24" s="160" t="s">
        <v>245</v>
      </c>
      <c r="B24" s="160">
        <f>EXP(-(dOne^2)/2)/SQRT(2*PI())</f>
        <v>0.39147063090733986</v>
      </c>
      <c r="C24" s="160"/>
      <c r="D24" s="160"/>
      <c r="E24" s="160"/>
      <c r="F24" s="160"/>
      <c r="G24" s="160"/>
      <c r="H24" s="224">
        <v>100</v>
      </c>
      <c r="I24" s="160">
        <v>0.99094950269695425</v>
      </c>
      <c r="J24" s="160">
        <v>-4.0629764957280639E-3</v>
      </c>
      <c r="K24" s="160">
        <v>4.2453306200563722E-4</v>
      </c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</row>
    <row r="25" spans="1:32">
      <c r="A25" s="160"/>
      <c r="B25" s="160"/>
      <c r="C25" s="160"/>
      <c r="D25" s="160"/>
      <c r="E25" s="160"/>
      <c r="F25" s="160"/>
      <c r="G25" s="160"/>
      <c r="H25" s="224">
        <v>105</v>
      </c>
      <c r="I25" s="160">
        <v>0.99260533528098571</v>
      </c>
      <c r="J25" s="160">
        <v>-2.4071439116966362E-3</v>
      </c>
      <c r="K25" s="160">
        <v>2.524072678836892E-4</v>
      </c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BSmodel</vt:lpstr>
      <vt:lpstr>BS_VBA</vt:lpstr>
      <vt:lpstr>BS_div</vt:lpstr>
      <vt:lpstr>BS_div_VBA</vt:lpstr>
      <vt:lpstr>BS general</vt:lpstr>
      <vt:lpstr>BS chart</vt:lpstr>
      <vt:lpstr>Exercise 3 - ans</vt:lpstr>
      <vt:lpstr>BS Delta</vt:lpstr>
      <vt:lpstr>SuperBS</vt:lpstr>
      <vt:lpstr>BSArray</vt:lpstr>
      <vt:lpstr>BStable</vt:lpstr>
      <vt:lpstr>Exercise4</vt:lpstr>
      <vt:lpstr>Exercise4-ans</vt:lpstr>
      <vt:lpstr>Greeks</vt:lpstr>
      <vt:lpstr>dOne</vt:lpstr>
      <vt:lpstr>dTwo</vt:lpstr>
      <vt:lpstr>eqt</vt:lpstr>
      <vt:lpstr>ert</vt:lpstr>
      <vt:lpstr>K</vt:lpstr>
      <vt:lpstr>NdOne</vt:lpstr>
      <vt:lpstr>NdTwo</vt:lpstr>
      <vt:lpstr>NmdOne</vt:lpstr>
      <vt:lpstr>NmdTwo</vt:lpstr>
      <vt:lpstr>NpdOne</vt:lpstr>
      <vt:lpstr>q</vt:lpstr>
      <vt:lpstr>radj</vt:lpstr>
      <vt:lpstr>rr</vt:lpstr>
      <vt:lpstr>S</vt:lpstr>
      <vt:lpstr>T</vt:lpstr>
      <vt:lpstr>V</vt:lpstr>
    </vt:vector>
  </TitlesOfParts>
  <Company>yan's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W.Y. Cheng</dc:creator>
  <cp:lastModifiedBy>tmpuser</cp:lastModifiedBy>
  <dcterms:created xsi:type="dcterms:W3CDTF">2004-09-12T06:05:24Z</dcterms:created>
  <dcterms:modified xsi:type="dcterms:W3CDTF">2015-11-11T03:50:55Z</dcterms:modified>
</cp:coreProperties>
</file>