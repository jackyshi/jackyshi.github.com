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755" activeTab="1"/>
  </bookViews>
  <sheets>
    <sheet name="Chart" sheetId="5" r:id="rId1"/>
    <sheet name="Question 3" sheetId="8" r:id="rId2"/>
    <sheet name="Solution(T)" sheetId="4" r:id="rId3"/>
    <sheet name="Solution(MVF)" sheetId="3" r:id="rId4"/>
    <sheet name="RealizedReturn" sheetId="2" r:id="rId5"/>
    <sheet name="MonthlyData" sheetId="1" r:id="rId6"/>
    <sheet name="StockPrice" sheetId="7" r:id="rId7"/>
  </sheets>
  <functionGroups builtInGroupCount="18"/>
  <definedNames>
    <definedName name="solver_adj" localSheetId="3" hidden="1">'Solution(MVF)'!$B$20:$J$20</definedName>
    <definedName name="solver_adj" localSheetId="2" hidden="1">'Solution(T)'!$B$20:$J$20</definedName>
    <definedName name="solver_cvg" localSheetId="3" hidden="1">0.0001</definedName>
    <definedName name="solver_cvg" localSheetId="2" hidden="1">0.0001</definedName>
    <definedName name="solver_drv" localSheetId="3" hidden="1">1</definedName>
    <definedName name="solver_drv" localSheetId="2" hidden="1">2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lhs1" localSheetId="3" hidden="1">'Solution(MVF)'!$C$43</definedName>
    <definedName name="solver_lhs1" localSheetId="2" hidden="1">'Solution(T)'!$C$45</definedName>
    <definedName name="solver_lhs10" localSheetId="3" hidden="1">'Solution(MVF)'!$C$52</definedName>
    <definedName name="solver_lhs10" localSheetId="2" hidden="1">'Solution(T)'!$C$54</definedName>
    <definedName name="solver_lhs11" localSheetId="3" hidden="1">'Solution(MVF)'!$C$53</definedName>
    <definedName name="solver_lhs2" localSheetId="3" hidden="1">'Solution(MVF)'!$C$44</definedName>
    <definedName name="solver_lhs2" localSheetId="2" hidden="1">'Solution(T)'!$C$46</definedName>
    <definedName name="solver_lhs3" localSheetId="3" hidden="1">'Solution(MVF)'!$C$45</definedName>
    <definedName name="solver_lhs3" localSheetId="2" hidden="1">'Solution(T)'!$C$47</definedName>
    <definedName name="solver_lhs4" localSheetId="3" hidden="1">'Solution(MVF)'!$C$46</definedName>
    <definedName name="solver_lhs4" localSheetId="2" hidden="1">'Solution(T)'!$C$48</definedName>
    <definedName name="solver_lhs5" localSheetId="3" hidden="1">'Solution(MVF)'!$C$47</definedName>
    <definedName name="solver_lhs5" localSheetId="2" hidden="1">'Solution(T)'!$C$49</definedName>
    <definedName name="solver_lhs6" localSheetId="3" hidden="1">'Solution(MVF)'!$C$48</definedName>
    <definedName name="solver_lhs6" localSheetId="2" hidden="1">'Solution(T)'!$C$50</definedName>
    <definedName name="solver_lhs7" localSheetId="3" hidden="1">'Solution(MVF)'!$C$49</definedName>
    <definedName name="solver_lhs7" localSheetId="2" hidden="1">'Solution(T)'!$C$51</definedName>
    <definedName name="solver_lhs8" localSheetId="3" hidden="1">'Solution(MVF)'!$C$50</definedName>
    <definedName name="solver_lhs8" localSheetId="2" hidden="1">'Solution(T)'!$C$52</definedName>
    <definedName name="solver_lhs9" localSheetId="3" hidden="1">'Solution(MVF)'!$C$51</definedName>
    <definedName name="solver_lhs9" localSheetId="2" hidden="1">'Solution(T)'!$C$53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11</definedName>
    <definedName name="solver_num" localSheetId="2" hidden="1">10</definedName>
    <definedName name="solver_nwt" localSheetId="3" hidden="1">1</definedName>
    <definedName name="solver_nwt" localSheetId="2" hidden="1">1</definedName>
    <definedName name="solver_opt" localSheetId="3" hidden="1">'Solution(MVF)'!$D$40</definedName>
    <definedName name="solver_opt" localSheetId="2" hidden="1">'Solution(T)'!$D$42</definedName>
    <definedName name="solver_pre" localSheetId="3" hidden="1">0.000001</definedName>
    <definedName name="solver_pre" localSheetId="2" hidden="1">0.000001</definedName>
    <definedName name="solver_rbv" localSheetId="3" hidden="1">1</definedName>
    <definedName name="solver_rbv" localSheetId="2" hidden="1">2</definedName>
    <definedName name="solver_rel1" localSheetId="3" hidden="1">2</definedName>
    <definedName name="solver_rel1" localSheetId="2" hidden="1">2</definedName>
    <definedName name="solver_rel10" localSheetId="3" hidden="1">3</definedName>
    <definedName name="solver_rel10" localSheetId="2" hidden="1">3</definedName>
    <definedName name="solver_rel11" localSheetId="3" hidden="1">2</definedName>
    <definedName name="solver_rel2" localSheetId="3" hidden="1">3</definedName>
    <definedName name="solver_rel2" localSheetId="2" hidden="1">3</definedName>
    <definedName name="solver_rel3" localSheetId="3" hidden="1">3</definedName>
    <definedName name="solver_rel3" localSheetId="2" hidden="1">3</definedName>
    <definedName name="solver_rel4" localSheetId="3" hidden="1">3</definedName>
    <definedName name="solver_rel4" localSheetId="2" hidden="1">3</definedName>
    <definedName name="solver_rel5" localSheetId="3" hidden="1">3</definedName>
    <definedName name="solver_rel5" localSheetId="2" hidden="1">3</definedName>
    <definedName name="solver_rel6" localSheetId="3" hidden="1">3</definedName>
    <definedName name="solver_rel6" localSheetId="2" hidden="1">3</definedName>
    <definedName name="solver_rel7" localSheetId="3" hidden="1">3</definedName>
    <definedName name="solver_rel7" localSheetId="2" hidden="1">3</definedName>
    <definedName name="solver_rel8" localSheetId="3" hidden="1">3</definedName>
    <definedName name="solver_rel8" localSheetId="2" hidden="1">3</definedName>
    <definedName name="solver_rel9" localSheetId="3" hidden="1">3</definedName>
    <definedName name="solver_rel9" localSheetId="2" hidden="1">3</definedName>
    <definedName name="solver_rhs1" localSheetId="3" hidden="1">'Solution(MVF)'!$E$43</definedName>
    <definedName name="solver_rhs1" localSheetId="2" hidden="1">'Solution(T)'!$E$45</definedName>
    <definedName name="solver_rhs10" localSheetId="3" hidden="1">'Solution(MVF)'!$E$52</definedName>
    <definedName name="solver_rhs10" localSheetId="2" hidden="1">'Solution(T)'!$E$54</definedName>
    <definedName name="solver_rhs11" localSheetId="3" hidden="1">'Solution(MVF)'!$E$53</definedName>
    <definedName name="solver_rhs2" localSheetId="3" hidden="1">'Solution(MVF)'!$E$44</definedName>
    <definedName name="solver_rhs2" localSheetId="2" hidden="1">'Solution(T)'!$E$46</definedName>
    <definedName name="solver_rhs3" localSheetId="3" hidden="1">'Solution(MVF)'!$E$45</definedName>
    <definedName name="solver_rhs3" localSheetId="2" hidden="1">'Solution(T)'!$E$47</definedName>
    <definedName name="solver_rhs4" localSheetId="3" hidden="1">'Solution(MVF)'!$E$46</definedName>
    <definedName name="solver_rhs4" localSheetId="2" hidden="1">'Solution(T)'!$E$48</definedName>
    <definedName name="solver_rhs5" localSheetId="3" hidden="1">'Solution(MVF)'!$E$47</definedName>
    <definedName name="solver_rhs5" localSheetId="2" hidden="1">'Solution(T)'!$E$49</definedName>
    <definedName name="solver_rhs6" localSheetId="3" hidden="1">'Solution(MVF)'!$E$48</definedName>
    <definedName name="solver_rhs6" localSheetId="2" hidden="1">'Solution(T)'!$E$50</definedName>
    <definedName name="solver_rhs7" localSheetId="3" hidden="1">'Solution(MVF)'!$E$49</definedName>
    <definedName name="solver_rhs7" localSheetId="2" hidden="1">'Solution(T)'!$E$51</definedName>
    <definedName name="solver_rhs8" localSheetId="3" hidden="1">'Solution(MVF)'!$E$50</definedName>
    <definedName name="solver_rhs8" localSheetId="2" hidden="1">'Solution(T)'!$E$52</definedName>
    <definedName name="solver_rhs9" localSheetId="3" hidden="1">'Solution(MVF)'!$E$51</definedName>
    <definedName name="solver_rhs9" localSheetId="2" hidden="1">'Solution(T)'!$E$53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1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2</definedName>
    <definedName name="solver_typ" localSheetId="2" hidden="1">1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</definedNames>
  <calcPr calcId="152511"/>
</workbook>
</file>

<file path=xl/calcChain.xml><?xml version="1.0" encoding="utf-8"?>
<calcChain xmlns="http://schemas.openxmlformats.org/spreadsheetml/2006/main">
  <c r="E36" i="8" l="1"/>
  <c r="B36" i="8"/>
  <c r="J33" i="8"/>
  <c r="I33" i="8"/>
  <c r="H33" i="8"/>
  <c r="G33" i="8"/>
  <c r="F33" i="8"/>
  <c r="E33" i="8"/>
  <c r="D33" i="8"/>
  <c r="C33" i="8"/>
  <c r="B33" i="8"/>
  <c r="J32" i="8"/>
  <c r="I32" i="8"/>
  <c r="H32" i="8"/>
  <c r="G32" i="8"/>
  <c r="F32" i="8"/>
  <c r="E32" i="8"/>
  <c r="D32" i="8"/>
  <c r="C32" i="8"/>
  <c r="B32" i="8"/>
  <c r="J31" i="8"/>
  <c r="I31" i="8"/>
  <c r="H31" i="8"/>
  <c r="G31" i="8"/>
  <c r="F31" i="8"/>
  <c r="E31" i="8"/>
  <c r="D31" i="8"/>
  <c r="C31" i="8"/>
  <c r="B31" i="8"/>
  <c r="J30" i="8"/>
  <c r="I30" i="8"/>
  <c r="H30" i="8"/>
  <c r="G30" i="8"/>
  <c r="F30" i="8"/>
  <c r="E30" i="8"/>
  <c r="D30" i="8"/>
  <c r="C30" i="8"/>
  <c r="B30" i="8"/>
  <c r="J29" i="8"/>
  <c r="I29" i="8"/>
  <c r="H29" i="8"/>
  <c r="G29" i="8"/>
  <c r="F29" i="8"/>
  <c r="E29" i="8"/>
  <c r="D29" i="8"/>
  <c r="C29" i="8"/>
  <c r="B29" i="8"/>
  <c r="J28" i="8"/>
  <c r="I28" i="8"/>
  <c r="H28" i="8"/>
  <c r="G28" i="8"/>
  <c r="F28" i="8"/>
  <c r="E28" i="8"/>
  <c r="D28" i="8"/>
  <c r="C28" i="8"/>
  <c r="B28" i="8"/>
  <c r="J27" i="8"/>
  <c r="I27" i="8"/>
  <c r="H27" i="8"/>
  <c r="G27" i="8"/>
  <c r="F27" i="8"/>
  <c r="E27" i="8"/>
  <c r="D27" i="8"/>
  <c r="C27" i="8"/>
  <c r="B27" i="8"/>
  <c r="J26" i="8"/>
  <c r="I26" i="8"/>
  <c r="H26" i="8"/>
  <c r="G26" i="8"/>
  <c r="F26" i="8"/>
  <c r="E26" i="8"/>
  <c r="D26" i="8"/>
  <c r="C26" i="8"/>
  <c r="B26" i="8"/>
  <c r="J25" i="8"/>
  <c r="I25" i="8"/>
  <c r="H25" i="8"/>
  <c r="G25" i="8"/>
  <c r="F25" i="8"/>
  <c r="E25" i="8"/>
  <c r="D25" i="8"/>
  <c r="C25" i="8"/>
  <c r="B25" i="8"/>
  <c r="M79" i="4"/>
  <c r="L79" i="4"/>
  <c r="K79" i="4"/>
  <c r="J79" i="4"/>
  <c r="I79" i="4"/>
  <c r="H79" i="4"/>
  <c r="G79" i="4"/>
  <c r="F79" i="4"/>
  <c r="E79" i="4"/>
  <c r="D79" i="4"/>
  <c r="C79" i="4"/>
  <c r="M78" i="4"/>
  <c r="L78" i="4"/>
  <c r="K78" i="4"/>
  <c r="J78" i="4"/>
  <c r="I78" i="4"/>
  <c r="H78" i="4"/>
  <c r="G78" i="4"/>
  <c r="F78" i="4"/>
  <c r="E78" i="4"/>
  <c r="D78" i="4"/>
  <c r="C78" i="4"/>
  <c r="M77" i="4"/>
  <c r="L77" i="4"/>
  <c r="K77" i="4"/>
  <c r="J77" i="4"/>
  <c r="I77" i="4"/>
  <c r="H77" i="4"/>
  <c r="G77" i="4"/>
  <c r="F77" i="4"/>
  <c r="E77" i="4"/>
  <c r="D77" i="4"/>
  <c r="C77" i="4"/>
  <c r="M76" i="4"/>
  <c r="L76" i="4"/>
  <c r="K76" i="4"/>
  <c r="J76" i="4"/>
  <c r="I76" i="4"/>
  <c r="H76" i="4"/>
  <c r="G76" i="4"/>
  <c r="F76" i="4"/>
  <c r="E76" i="4"/>
  <c r="D76" i="4"/>
  <c r="C76" i="4"/>
  <c r="M75" i="4"/>
  <c r="L75" i="4"/>
  <c r="K75" i="4"/>
  <c r="J75" i="4"/>
  <c r="I75" i="4"/>
  <c r="H75" i="4"/>
  <c r="G75" i="4"/>
  <c r="F75" i="4"/>
  <c r="E75" i="4"/>
  <c r="D75" i="4"/>
  <c r="C75" i="4"/>
  <c r="M74" i="4"/>
  <c r="L74" i="4"/>
  <c r="K74" i="4"/>
  <c r="J74" i="4"/>
  <c r="I74" i="4"/>
  <c r="H74" i="4"/>
  <c r="G74" i="4"/>
  <c r="F74" i="4"/>
  <c r="E74" i="4"/>
  <c r="D74" i="4"/>
  <c r="C74" i="4"/>
  <c r="M73" i="4"/>
  <c r="L73" i="4"/>
  <c r="K73" i="4"/>
  <c r="J73" i="4"/>
  <c r="I73" i="4"/>
  <c r="H73" i="4"/>
  <c r="G73" i="4"/>
  <c r="F73" i="4"/>
  <c r="E73" i="4"/>
  <c r="D73" i="4"/>
  <c r="C73" i="4"/>
  <c r="M72" i="4"/>
  <c r="L72" i="4"/>
  <c r="K72" i="4"/>
  <c r="J72" i="4"/>
  <c r="I72" i="4"/>
  <c r="H72" i="4"/>
  <c r="G72" i="4"/>
  <c r="F72" i="4"/>
  <c r="E72" i="4"/>
  <c r="D72" i="4"/>
  <c r="C72" i="4"/>
  <c r="M71" i="4"/>
  <c r="L71" i="4"/>
  <c r="K71" i="4"/>
  <c r="J71" i="4"/>
  <c r="I71" i="4"/>
  <c r="H71" i="4"/>
  <c r="G71" i="4"/>
  <c r="F71" i="4"/>
  <c r="E71" i="4"/>
  <c r="D71" i="4"/>
  <c r="C71" i="4"/>
  <c r="M70" i="4"/>
  <c r="L70" i="4"/>
  <c r="K70" i="4"/>
  <c r="J70" i="4"/>
  <c r="I70" i="4"/>
  <c r="H70" i="4"/>
  <c r="G70" i="4"/>
  <c r="F70" i="4"/>
  <c r="E70" i="4"/>
  <c r="D70" i="4"/>
  <c r="C70" i="4"/>
  <c r="M69" i="4"/>
  <c r="L69" i="4"/>
  <c r="K69" i="4"/>
  <c r="J69" i="4"/>
  <c r="I69" i="4"/>
  <c r="H69" i="4"/>
  <c r="G69" i="4"/>
  <c r="F69" i="4"/>
  <c r="E69" i="4"/>
  <c r="D69" i="4"/>
  <c r="C69" i="4"/>
  <c r="M68" i="4"/>
  <c r="L68" i="4"/>
  <c r="K68" i="4"/>
  <c r="J68" i="4"/>
  <c r="I68" i="4"/>
  <c r="H68" i="4"/>
  <c r="G68" i="4"/>
  <c r="F68" i="4"/>
  <c r="E68" i="4"/>
  <c r="D68" i="4"/>
  <c r="C68" i="4"/>
  <c r="M67" i="4"/>
  <c r="L67" i="4"/>
  <c r="K67" i="4"/>
  <c r="J67" i="4"/>
  <c r="I67" i="4"/>
  <c r="H67" i="4"/>
  <c r="G67" i="4"/>
  <c r="F67" i="4"/>
  <c r="E67" i="4"/>
  <c r="D67" i="4"/>
  <c r="C67" i="4"/>
  <c r="M66" i="4"/>
  <c r="L66" i="4"/>
  <c r="K66" i="4"/>
  <c r="J66" i="4"/>
  <c r="I66" i="4"/>
  <c r="H66" i="4"/>
  <c r="G66" i="4"/>
  <c r="F66" i="4"/>
  <c r="E66" i="4"/>
  <c r="D66" i="4"/>
  <c r="C66" i="4"/>
  <c r="M65" i="4"/>
  <c r="L65" i="4"/>
  <c r="K65" i="4"/>
  <c r="J65" i="4"/>
  <c r="I65" i="4"/>
  <c r="H65" i="4"/>
  <c r="G65" i="4"/>
  <c r="F65" i="4"/>
  <c r="E65" i="4"/>
  <c r="D65" i="4"/>
  <c r="C65" i="4"/>
  <c r="M64" i="4"/>
  <c r="L64" i="4"/>
  <c r="K64" i="4"/>
  <c r="J64" i="4"/>
  <c r="I64" i="4"/>
  <c r="H64" i="4"/>
  <c r="G64" i="4"/>
  <c r="F64" i="4"/>
  <c r="E64" i="4"/>
  <c r="D64" i="4"/>
  <c r="C64" i="4"/>
  <c r="M63" i="4"/>
  <c r="L63" i="4"/>
  <c r="K63" i="4"/>
  <c r="J63" i="4"/>
  <c r="I63" i="4"/>
  <c r="H63" i="4"/>
  <c r="G63" i="4"/>
  <c r="F63" i="4"/>
  <c r="E63" i="4"/>
  <c r="D63" i="4"/>
  <c r="C63" i="4"/>
  <c r="M62" i="4"/>
  <c r="L62" i="4"/>
  <c r="K62" i="4"/>
  <c r="J62" i="4"/>
  <c r="I62" i="4"/>
  <c r="H62" i="4"/>
  <c r="G62" i="4"/>
  <c r="F62" i="4"/>
  <c r="E62" i="4"/>
  <c r="D62" i="4"/>
  <c r="C62" i="4"/>
  <c r="M61" i="4"/>
  <c r="L61" i="4"/>
  <c r="K61" i="4"/>
  <c r="J61" i="4"/>
  <c r="I61" i="4"/>
  <c r="H61" i="4"/>
  <c r="G61" i="4"/>
  <c r="F61" i="4"/>
  <c r="E61" i="4"/>
  <c r="D61" i="4"/>
  <c r="C61" i="4"/>
  <c r="M60" i="4"/>
  <c r="L60" i="4"/>
  <c r="K60" i="4"/>
  <c r="J60" i="4"/>
  <c r="I60" i="4"/>
  <c r="H60" i="4"/>
  <c r="G60" i="4"/>
  <c r="F60" i="4"/>
  <c r="E60" i="4"/>
  <c r="D60" i="4"/>
  <c r="C60" i="4"/>
  <c r="M59" i="4"/>
  <c r="L59" i="4"/>
  <c r="K59" i="4"/>
  <c r="J59" i="4"/>
  <c r="I59" i="4"/>
  <c r="H59" i="4"/>
  <c r="G59" i="4"/>
  <c r="F59" i="4"/>
  <c r="E59" i="4"/>
  <c r="D59" i="4"/>
  <c r="C59" i="4"/>
  <c r="M58" i="4"/>
  <c r="L58" i="4"/>
  <c r="K58" i="4"/>
  <c r="J58" i="4"/>
  <c r="I58" i="4"/>
  <c r="H58" i="4"/>
  <c r="G58" i="4"/>
  <c r="F58" i="4"/>
  <c r="E58" i="4"/>
  <c r="D58" i="4"/>
  <c r="C58" i="4"/>
  <c r="A33" i="8"/>
  <c r="A32" i="8"/>
  <c r="A31" i="8"/>
  <c r="A28" i="8"/>
  <c r="A30" i="8"/>
  <c r="A29" i="8"/>
  <c r="A27" i="8"/>
  <c r="A26" i="8"/>
  <c r="A25" i="8"/>
  <c r="C24" i="8"/>
  <c r="D24" i="8"/>
  <c r="E24" i="8"/>
  <c r="F24" i="8"/>
  <c r="G24" i="8"/>
  <c r="H24" i="8"/>
  <c r="I24" i="8"/>
  <c r="J24" i="8"/>
  <c r="B24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C13" i="8"/>
  <c r="D13" i="8"/>
  <c r="E13" i="8"/>
  <c r="F13" i="8"/>
  <c r="G13" i="8"/>
  <c r="H13" i="8"/>
  <c r="I13" i="8"/>
  <c r="J13" i="8"/>
  <c r="B13" i="8"/>
  <c r="C9" i="8"/>
  <c r="D9" i="8"/>
  <c r="E9" i="8"/>
  <c r="F9" i="8"/>
  <c r="G9" i="8"/>
  <c r="H9" i="8"/>
  <c r="I9" i="8"/>
  <c r="J9" i="8"/>
  <c r="B9" i="8"/>
  <c r="D4" i="8"/>
  <c r="H4" i="8"/>
  <c r="C3" i="8"/>
  <c r="D3" i="8"/>
  <c r="E3" i="8"/>
  <c r="F3" i="8"/>
  <c r="G3" i="8"/>
  <c r="H3" i="8"/>
  <c r="I3" i="8"/>
  <c r="J3" i="8"/>
  <c r="B3" i="8"/>
  <c r="B2" i="8"/>
  <c r="B4" i="8" s="1"/>
  <c r="C2" i="8"/>
  <c r="C4" i="8" s="1"/>
  <c r="D2" i="8"/>
  <c r="E2" i="8"/>
  <c r="E4" i="8" s="1"/>
  <c r="F2" i="8"/>
  <c r="F4" i="8" s="1"/>
  <c r="G2" i="8"/>
  <c r="G4" i="8" s="1"/>
  <c r="H2" i="8"/>
  <c r="I2" i="8"/>
  <c r="I4" i="8" s="1"/>
  <c r="J2" i="8"/>
  <c r="J4" i="8" s="1"/>
  <c r="K89" i="2"/>
  <c r="J89" i="2"/>
  <c r="I89" i="2"/>
  <c r="H89" i="2"/>
  <c r="G89" i="2"/>
  <c r="F89" i="2"/>
  <c r="E89" i="2"/>
  <c r="D89" i="2"/>
  <c r="C89" i="2"/>
  <c r="K88" i="2"/>
  <c r="J88" i="2"/>
  <c r="I88" i="2"/>
  <c r="H88" i="2"/>
  <c r="G88" i="2"/>
  <c r="F88" i="2"/>
  <c r="E88" i="2"/>
  <c r="D88" i="2"/>
  <c r="C88" i="2"/>
  <c r="K87" i="2"/>
  <c r="J87" i="2"/>
  <c r="I87" i="2"/>
  <c r="H87" i="2"/>
  <c r="G87" i="2"/>
  <c r="F87" i="2"/>
  <c r="E87" i="2"/>
  <c r="D87" i="2"/>
  <c r="C87" i="2"/>
  <c r="K86" i="2"/>
  <c r="J86" i="2"/>
  <c r="I86" i="2"/>
  <c r="H86" i="2"/>
  <c r="G86" i="2"/>
  <c r="F86" i="2"/>
  <c r="E86" i="2"/>
  <c r="D86" i="2"/>
  <c r="C86" i="2"/>
  <c r="K85" i="2"/>
  <c r="J85" i="2"/>
  <c r="I85" i="2"/>
  <c r="H85" i="2"/>
  <c r="G85" i="2"/>
  <c r="F85" i="2"/>
  <c r="E85" i="2"/>
  <c r="D85" i="2"/>
  <c r="C85" i="2"/>
  <c r="K84" i="2"/>
  <c r="J84" i="2"/>
  <c r="I84" i="2"/>
  <c r="H84" i="2"/>
  <c r="G84" i="2"/>
  <c r="F84" i="2"/>
  <c r="E84" i="2"/>
  <c r="D84" i="2"/>
  <c r="C84" i="2"/>
  <c r="K83" i="2"/>
  <c r="J83" i="2"/>
  <c r="I83" i="2"/>
  <c r="H83" i="2"/>
  <c r="G83" i="2"/>
  <c r="F83" i="2"/>
  <c r="E83" i="2"/>
  <c r="D83" i="2"/>
  <c r="C83" i="2"/>
  <c r="K82" i="2"/>
  <c r="J82" i="2"/>
  <c r="I82" i="2"/>
  <c r="H82" i="2"/>
  <c r="G82" i="2"/>
  <c r="F82" i="2"/>
  <c r="E82" i="2"/>
  <c r="D82" i="2"/>
  <c r="C82" i="2"/>
  <c r="K81" i="2"/>
  <c r="J81" i="2"/>
  <c r="I81" i="2"/>
  <c r="H81" i="2"/>
  <c r="G81" i="2"/>
  <c r="F81" i="2"/>
  <c r="E81" i="2"/>
  <c r="D81" i="2"/>
  <c r="C81" i="2"/>
  <c r="K77" i="2"/>
  <c r="J77" i="2"/>
  <c r="I77" i="2"/>
  <c r="H77" i="2"/>
  <c r="G77" i="2"/>
  <c r="F77" i="2"/>
  <c r="E77" i="2"/>
  <c r="D77" i="2"/>
  <c r="C77" i="2"/>
  <c r="K76" i="2"/>
  <c r="J76" i="2"/>
  <c r="I76" i="2"/>
  <c r="H76" i="2"/>
  <c r="G76" i="2"/>
  <c r="F76" i="2"/>
  <c r="E76" i="2"/>
  <c r="D76" i="2"/>
  <c r="C76" i="2"/>
  <c r="K75" i="2"/>
  <c r="J75" i="2"/>
  <c r="I75" i="2"/>
  <c r="H75" i="2"/>
  <c r="G75" i="2"/>
  <c r="F75" i="2"/>
  <c r="E75" i="2"/>
  <c r="D75" i="2"/>
  <c r="C75" i="2"/>
  <c r="K74" i="2"/>
  <c r="J74" i="2"/>
  <c r="I74" i="2"/>
  <c r="H74" i="2"/>
  <c r="G74" i="2"/>
  <c r="F74" i="2"/>
  <c r="E74" i="2"/>
  <c r="D74" i="2"/>
  <c r="C74" i="2"/>
  <c r="K73" i="2"/>
  <c r="J73" i="2"/>
  <c r="I73" i="2"/>
  <c r="H73" i="2"/>
  <c r="G73" i="2"/>
  <c r="F73" i="2"/>
  <c r="E73" i="2"/>
  <c r="D73" i="2"/>
  <c r="C73" i="2"/>
  <c r="K72" i="2"/>
  <c r="J72" i="2"/>
  <c r="I72" i="2"/>
  <c r="H72" i="2"/>
  <c r="G72" i="2"/>
  <c r="F72" i="2"/>
  <c r="E72" i="2"/>
  <c r="D72" i="2"/>
  <c r="C72" i="2"/>
  <c r="K71" i="2"/>
  <c r="J71" i="2"/>
  <c r="I71" i="2"/>
  <c r="H71" i="2"/>
  <c r="G71" i="2"/>
  <c r="F71" i="2"/>
  <c r="E71" i="2"/>
  <c r="D71" i="2"/>
  <c r="C71" i="2"/>
  <c r="K70" i="2"/>
  <c r="J70" i="2"/>
  <c r="I70" i="2"/>
  <c r="H70" i="2"/>
  <c r="G70" i="2"/>
  <c r="F70" i="2"/>
  <c r="E70" i="2"/>
  <c r="D70" i="2"/>
  <c r="C70" i="2"/>
  <c r="K69" i="2"/>
  <c r="J69" i="2"/>
  <c r="I69" i="2"/>
  <c r="H69" i="2"/>
  <c r="G69" i="2"/>
  <c r="F69" i="2"/>
  <c r="E69" i="2"/>
  <c r="D69" i="2"/>
  <c r="C69" i="2"/>
  <c r="K66" i="2"/>
  <c r="J66" i="2"/>
  <c r="I66" i="2"/>
  <c r="H66" i="2"/>
  <c r="G66" i="2"/>
  <c r="F66" i="2"/>
  <c r="E66" i="2"/>
  <c r="D66" i="2"/>
  <c r="C66" i="2"/>
  <c r="B66" i="2"/>
  <c r="K65" i="2"/>
  <c r="J65" i="2"/>
  <c r="I65" i="2"/>
  <c r="H65" i="2"/>
  <c r="G65" i="2"/>
  <c r="F65" i="2"/>
  <c r="E65" i="2"/>
  <c r="D65" i="2"/>
  <c r="C65" i="2"/>
  <c r="B65" i="2"/>
  <c r="K63" i="2"/>
  <c r="J63" i="2"/>
  <c r="I63" i="2"/>
  <c r="H63" i="2"/>
  <c r="G63" i="2"/>
  <c r="F63" i="2"/>
  <c r="E63" i="2"/>
  <c r="D63" i="2"/>
  <c r="C63" i="2"/>
  <c r="B63" i="2"/>
  <c r="K62" i="2"/>
  <c r="J62" i="2"/>
  <c r="I62" i="2"/>
  <c r="H62" i="2"/>
  <c r="G62" i="2"/>
  <c r="F62" i="2"/>
  <c r="E62" i="2"/>
  <c r="D62" i="2"/>
  <c r="C62" i="2"/>
  <c r="B62" i="2"/>
  <c r="K61" i="2"/>
  <c r="J61" i="2"/>
  <c r="I61" i="2"/>
  <c r="H61" i="2"/>
  <c r="G61" i="2"/>
  <c r="F61" i="2"/>
  <c r="E61" i="2"/>
  <c r="D61" i="2"/>
  <c r="C61" i="2"/>
  <c r="B61" i="2"/>
  <c r="K60" i="2"/>
  <c r="J60" i="2"/>
  <c r="I60" i="2"/>
  <c r="H60" i="2"/>
  <c r="G60" i="2"/>
  <c r="F60" i="2"/>
  <c r="E60" i="2"/>
  <c r="D60" i="2"/>
  <c r="C60" i="2"/>
  <c r="B60" i="2"/>
  <c r="K59" i="2"/>
  <c r="J59" i="2"/>
  <c r="I59" i="2"/>
  <c r="H59" i="2"/>
  <c r="G59" i="2"/>
  <c r="F59" i="2"/>
  <c r="E59" i="2"/>
  <c r="D59" i="2"/>
  <c r="C59" i="2"/>
  <c r="B59" i="2"/>
  <c r="K58" i="2"/>
  <c r="J58" i="2"/>
  <c r="I58" i="2"/>
  <c r="H58" i="2"/>
  <c r="G58" i="2"/>
  <c r="F58" i="2"/>
  <c r="E58" i="2"/>
  <c r="D58" i="2"/>
  <c r="C58" i="2"/>
  <c r="B58" i="2"/>
  <c r="K57" i="2"/>
  <c r="J57" i="2"/>
  <c r="I57" i="2"/>
  <c r="H57" i="2"/>
  <c r="G57" i="2"/>
  <c r="F57" i="2"/>
  <c r="E57" i="2"/>
  <c r="D57" i="2"/>
  <c r="C57" i="2"/>
  <c r="B57" i="2"/>
  <c r="K56" i="2"/>
  <c r="J56" i="2"/>
  <c r="I56" i="2"/>
  <c r="H56" i="2"/>
  <c r="G56" i="2"/>
  <c r="F56" i="2"/>
  <c r="E56" i="2"/>
  <c r="D56" i="2"/>
  <c r="C56" i="2"/>
  <c r="B56" i="2"/>
  <c r="K55" i="2"/>
  <c r="J55" i="2"/>
  <c r="I55" i="2"/>
  <c r="H55" i="2"/>
  <c r="G55" i="2"/>
  <c r="F55" i="2"/>
  <c r="E55" i="2"/>
  <c r="D55" i="2"/>
  <c r="C55" i="2"/>
  <c r="B55" i="2"/>
  <c r="K54" i="2"/>
  <c r="J54" i="2"/>
  <c r="I54" i="2"/>
  <c r="H54" i="2"/>
  <c r="G54" i="2"/>
  <c r="F54" i="2"/>
  <c r="E54" i="2"/>
  <c r="D54" i="2"/>
  <c r="C54" i="2"/>
  <c r="B54" i="2"/>
  <c r="K53" i="2"/>
  <c r="J53" i="2"/>
  <c r="I53" i="2"/>
  <c r="H53" i="2"/>
  <c r="G53" i="2"/>
  <c r="F53" i="2"/>
  <c r="E53" i="2"/>
  <c r="D53" i="2"/>
  <c r="C53" i="2"/>
  <c r="B53" i="2"/>
  <c r="K52" i="2"/>
  <c r="J52" i="2"/>
  <c r="I52" i="2"/>
  <c r="H52" i="2"/>
  <c r="G52" i="2"/>
  <c r="F52" i="2"/>
  <c r="E52" i="2"/>
  <c r="D52" i="2"/>
  <c r="C52" i="2"/>
  <c r="B52" i="2"/>
  <c r="K51" i="2"/>
  <c r="J51" i="2"/>
  <c r="I51" i="2"/>
  <c r="H51" i="2"/>
  <c r="G51" i="2"/>
  <c r="F51" i="2"/>
  <c r="E51" i="2"/>
  <c r="D51" i="2"/>
  <c r="C51" i="2"/>
  <c r="B51" i="2"/>
  <c r="K50" i="2"/>
  <c r="J50" i="2"/>
  <c r="I50" i="2"/>
  <c r="H50" i="2"/>
  <c r="G50" i="2"/>
  <c r="F50" i="2"/>
  <c r="E50" i="2"/>
  <c r="D50" i="2"/>
  <c r="C50" i="2"/>
  <c r="B50" i="2"/>
  <c r="K49" i="2"/>
  <c r="J49" i="2"/>
  <c r="I49" i="2"/>
  <c r="H49" i="2"/>
  <c r="G49" i="2"/>
  <c r="F49" i="2"/>
  <c r="E49" i="2"/>
  <c r="D49" i="2"/>
  <c r="C49" i="2"/>
  <c r="B49" i="2"/>
  <c r="K48" i="2"/>
  <c r="J48" i="2"/>
  <c r="I48" i="2"/>
  <c r="H48" i="2"/>
  <c r="G48" i="2"/>
  <c r="F48" i="2"/>
  <c r="E48" i="2"/>
  <c r="D48" i="2"/>
  <c r="C48" i="2"/>
  <c r="B48" i="2"/>
  <c r="K47" i="2"/>
  <c r="J47" i="2"/>
  <c r="I47" i="2"/>
  <c r="H47" i="2"/>
  <c r="G47" i="2"/>
  <c r="F47" i="2"/>
  <c r="E47" i="2"/>
  <c r="D47" i="2"/>
  <c r="C47" i="2"/>
  <c r="B47" i="2"/>
  <c r="K46" i="2"/>
  <c r="J46" i="2"/>
  <c r="I46" i="2"/>
  <c r="H46" i="2"/>
  <c r="G46" i="2"/>
  <c r="F46" i="2"/>
  <c r="E46" i="2"/>
  <c r="D46" i="2"/>
  <c r="C46" i="2"/>
  <c r="B46" i="2"/>
  <c r="K45" i="2"/>
  <c r="J45" i="2"/>
  <c r="I45" i="2"/>
  <c r="H45" i="2"/>
  <c r="G45" i="2"/>
  <c r="F45" i="2"/>
  <c r="E45" i="2"/>
  <c r="D45" i="2"/>
  <c r="C45" i="2"/>
  <c r="B45" i="2"/>
  <c r="K44" i="2"/>
  <c r="J44" i="2"/>
  <c r="I44" i="2"/>
  <c r="H44" i="2"/>
  <c r="G44" i="2"/>
  <c r="F44" i="2"/>
  <c r="E44" i="2"/>
  <c r="D44" i="2"/>
  <c r="C44" i="2"/>
  <c r="B44" i="2"/>
  <c r="K43" i="2"/>
  <c r="J43" i="2"/>
  <c r="I43" i="2"/>
  <c r="H43" i="2"/>
  <c r="G43" i="2"/>
  <c r="F43" i="2"/>
  <c r="E43" i="2"/>
  <c r="D43" i="2"/>
  <c r="C43" i="2"/>
  <c r="B43" i="2"/>
  <c r="K42" i="2"/>
  <c r="J42" i="2"/>
  <c r="I42" i="2"/>
  <c r="H42" i="2"/>
  <c r="G42" i="2"/>
  <c r="F42" i="2"/>
  <c r="E42" i="2"/>
  <c r="D42" i="2"/>
  <c r="C42" i="2"/>
  <c r="B42" i="2"/>
  <c r="K41" i="2"/>
  <c r="J41" i="2"/>
  <c r="I41" i="2"/>
  <c r="H41" i="2"/>
  <c r="G41" i="2"/>
  <c r="F41" i="2"/>
  <c r="E41" i="2"/>
  <c r="D41" i="2"/>
  <c r="C41" i="2"/>
  <c r="B41" i="2"/>
  <c r="K40" i="2"/>
  <c r="J40" i="2"/>
  <c r="I40" i="2"/>
  <c r="H40" i="2"/>
  <c r="G40" i="2"/>
  <c r="F40" i="2"/>
  <c r="E40" i="2"/>
  <c r="D40" i="2"/>
  <c r="C40" i="2"/>
  <c r="B40" i="2"/>
  <c r="K39" i="2"/>
  <c r="J39" i="2"/>
  <c r="I39" i="2"/>
  <c r="H39" i="2"/>
  <c r="G39" i="2"/>
  <c r="F39" i="2"/>
  <c r="E39" i="2"/>
  <c r="D39" i="2"/>
  <c r="C39" i="2"/>
  <c r="B39" i="2"/>
  <c r="K38" i="2"/>
  <c r="J38" i="2"/>
  <c r="I38" i="2"/>
  <c r="H38" i="2"/>
  <c r="G38" i="2"/>
  <c r="F38" i="2"/>
  <c r="E38" i="2"/>
  <c r="D38" i="2"/>
  <c r="C38" i="2"/>
  <c r="B38" i="2"/>
  <c r="K37" i="2"/>
  <c r="J37" i="2"/>
  <c r="I37" i="2"/>
  <c r="H37" i="2"/>
  <c r="G37" i="2"/>
  <c r="F37" i="2"/>
  <c r="E37" i="2"/>
  <c r="D37" i="2"/>
  <c r="C37" i="2"/>
  <c r="B37" i="2"/>
  <c r="K36" i="2"/>
  <c r="J36" i="2"/>
  <c r="I36" i="2"/>
  <c r="H36" i="2"/>
  <c r="G36" i="2"/>
  <c r="F36" i="2"/>
  <c r="E36" i="2"/>
  <c r="D36" i="2"/>
  <c r="C36" i="2"/>
  <c r="B36" i="2"/>
  <c r="K35" i="2"/>
  <c r="J35" i="2"/>
  <c r="I35" i="2"/>
  <c r="H35" i="2"/>
  <c r="G35" i="2"/>
  <c r="F35" i="2"/>
  <c r="E35" i="2"/>
  <c r="D35" i="2"/>
  <c r="C35" i="2"/>
  <c r="B35" i="2"/>
  <c r="K34" i="2"/>
  <c r="J34" i="2"/>
  <c r="I34" i="2"/>
  <c r="H34" i="2"/>
  <c r="G34" i="2"/>
  <c r="F34" i="2"/>
  <c r="E34" i="2"/>
  <c r="D34" i="2"/>
  <c r="C34" i="2"/>
  <c r="B34" i="2"/>
  <c r="K33" i="2"/>
  <c r="J33" i="2"/>
  <c r="I33" i="2"/>
  <c r="H33" i="2"/>
  <c r="G33" i="2"/>
  <c r="F33" i="2"/>
  <c r="E33" i="2"/>
  <c r="D33" i="2"/>
  <c r="C33" i="2"/>
  <c r="B33" i="2"/>
  <c r="K32" i="2"/>
  <c r="J32" i="2"/>
  <c r="I32" i="2"/>
  <c r="H32" i="2"/>
  <c r="G32" i="2"/>
  <c r="F32" i="2"/>
  <c r="E32" i="2"/>
  <c r="D32" i="2"/>
  <c r="C32" i="2"/>
  <c r="B32" i="2"/>
  <c r="K31" i="2"/>
  <c r="J31" i="2"/>
  <c r="I31" i="2"/>
  <c r="H31" i="2"/>
  <c r="G31" i="2"/>
  <c r="F31" i="2"/>
  <c r="E31" i="2"/>
  <c r="D31" i="2"/>
  <c r="C31" i="2"/>
  <c r="B31" i="2"/>
  <c r="K30" i="2"/>
  <c r="J30" i="2"/>
  <c r="I30" i="2"/>
  <c r="H30" i="2"/>
  <c r="G30" i="2"/>
  <c r="F30" i="2"/>
  <c r="E30" i="2"/>
  <c r="D30" i="2"/>
  <c r="C30" i="2"/>
  <c r="B30" i="2"/>
  <c r="K29" i="2"/>
  <c r="J29" i="2"/>
  <c r="I29" i="2"/>
  <c r="H29" i="2"/>
  <c r="G29" i="2"/>
  <c r="F29" i="2"/>
  <c r="E29" i="2"/>
  <c r="D29" i="2"/>
  <c r="C29" i="2"/>
  <c r="B29" i="2"/>
  <c r="K28" i="2"/>
  <c r="J28" i="2"/>
  <c r="I28" i="2"/>
  <c r="H28" i="2"/>
  <c r="G28" i="2"/>
  <c r="F28" i="2"/>
  <c r="E28" i="2"/>
  <c r="D28" i="2"/>
  <c r="C28" i="2"/>
  <c r="B28" i="2"/>
  <c r="K27" i="2"/>
  <c r="J27" i="2"/>
  <c r="I27" i="2"/>
  <c r="H27" i="2"/>
  <c r="G27" i="2"/>
  <c r="F27" i="2"/>
  <c r="E27" i="2"/>
  <c r="D27" i="2"/>
  <c r="C27" i="2"/>
  <c r="B27" i="2"/>
  <c r="K26" i="2"/>
  <c r="J26" i="2"/>
  <c r="I26" i="2"/>
  <c r="H26" i="2"/>
  <c r="G26" i="2"/>
  <c r="F26" i="2"/>
  <c r="E26" i="2"/>
  <c r="D26" i="2"/>
  <c r="C26" i="2"/>
  <c r="B26" i="2"/>
  <c r="K25" i="2"/>
  <c r="J25" i="2"/>
  <c r="I25" i="2"/>
  <c r="H25" i="2"/>
  <c r="G25" i="2"/>
  <c r="F25" i="2"/>
  <c r="E25" i="2"/>
  <c r="D25" i="2"/>
  <c r="C25" i="2"/>
  <c r="B25" i="2"/>
  <c r="K24" i="2"/>
  <c r="J24" i="2"/>
  <c r="I24" i="2"/>
  <c r="H24" i="2"/>
  <c r="G24" i="2"/>
  <c r="F24" i="2"/>
  <c r="E24" i="2"/>
  <c r="D24" i="2"/>
  <c r="C24" i="2"/>
  <c r="B24" i="2"/>
  <c r="K23" i="2"/>
  <c r="J23" i="2"/>
  <c r="I23" i="2"/>
  <c r="H23" i="2"/>
  <c r="G23" i="2"/>
  <c r="F23" i="2"/>
  <c r="E23" i="2"/>
  <c r="D23" i="2"/>
  <c r="C23" i="2"/>
  <c r="B23" i="2"/>
  <c r="K22" i="2"/>
  <c r="J22" i="2"/>
  <c r="I22" i="2"/>
  <c r="H22" i="2"/>
  <c r="G22" i="2"/>
  <c r="F22" i="2"/>
  <c r="E22" i="2"/>
  <c r="D22" i="2"/>
  <c r="C22" i="2"/>
  <c r="B22" i="2"/>
  <c r="K21" i="2"/>
  <c r="J21" i="2"/>
  <c r="I21" i="2"/>
  <c r="H21" i="2"/>
  <c r="G21" i="2"/>
  <c r="F21" i="2"/>
  <c r="E21" i="2"/>
  <c r="D21" i="2"/>
  <c r="C21" i="2"/>
  <c r="B21" i="2"/>
  <c r="K20" i="2"/>
  <c r="J20" i="2"/>
  <c r="I20" i="2"/>
  <c r="H20" i="2"/>
  <c r="G20" i="2"/>
  <c r="F20" i="2"/>
  <c r="E20" i="2"/>
  <c r="D20" i="2"/>
  <c r="C20" i="2"/>
  <c r="B20" i="2"/>
  <c r="K19" i="2"/>
  <c r="J19" i="2"/>
  <c r="I19" i="2"/>
  <c r="H19" i="2"/>
  <c r="G19" i="2"/>
  <c r="F19" i="2"/>
  <c r="E19" i="2"/>
  <c r="D19" i="2"/>
  <c r="C19" i="2"/>
  <c r="B19" i="2"/>
  <c r="K18" i="2"/>
  <c r="J18" i="2"/>
  <c r="I18" i="2"/>
  <c r="H18" i="2"/>
  <c r="G18" i="2"/>
  <c r="F18" i="2"/>
  <c r="E18" i="2"/>
  <c r="D18" i="2"/>
  <c r="C18" i="2"/>
  <c r="B18" i="2"/>
  <c r="K17" i="2"/>
  <c r="J17" i="2"/>
  <c r="I17" i="2"/>
  <c r="H17" i="2"/>
  <c r="G17" i="2"/>
  <c r="F17" i="2"/>
  <c r="E17" i="2"/>
  <c r="D17" i="2"/>
  <c r="C17" i="2"/>
  <c r="B17" i="2"/>
  <c r="K16" i="2"/>
  <c r="J16" i="2"/>
  <c r="I16" i="2"/>
  <c r="H16" i="2"/>
  <c r="G16" i="2"/>
  <c r="F16" i="2"/>
  <c r="E16" i="2"/>
  <c r="D16" i="2"/>
  <c r="C16" i="2"/>
  <c r="B16" i="2"/>
  <c r="K15" i="2"/>
  <c r="J15" i="2"/>
  <c r="I15" i="2"/>
  <c r="H15" i="2"/>
  <c r="G15" i="2"/>
  <c r="F15" i="2"/>
  <c r="E15" i="2"/>
  <c r="D15" i="2"/>
  <c r="C15" i="2"/>
  <c r="B15" i="2"/>
  <c r="K14" i="2"/>
  <c r="J14" i="2"/>
  <c r="I14" i="2"/>
  <c r="H14" i="2"/>
  <c r="G14" i="2"/>
  <c r="F14" i="2"/>
  <c r="E14" i="2"/>
  <c r="D14" i="2"/>
  <c r="C14" i="2"/>
  <c r="B14" i="2"/>
  <c r="K13" i="2"/>
  <c r="J13" i="2"/>
  <c r="I13" i="2"/>
  <c r="H13" i="2"/>
  <c r="G13" i="2"/>
  <c r="F13" i="2"/>
  <c r="E13" i="2"/>
  <c r="D13" i="2"/>
  <c r="C13" i="2"/>
  <c r="B13" i="2"/>
  <c r="K12" i="2"/>
  <c r="J12" i="2"/>
  <c r="I12" i="2"/>
  <c r="H12" i="2"/>
  <c r="G12" i="2"/>
  <c r="F12" i="2"/>
  <c r="E12" i="2"/>
  <c r="D12" i="2"/>
  <c r="C12" i="2"/>
  <c r="B12" i="2"/>
  <c r="K11" i="2"/>
  <c r="J11" i="2"/>
  <c r="I11" i="2"/>
  <c r="H11" i="2"/>
  <c r="G11" i="2"/>
  <c r="F11" i="2"/>
  <c r="E11" i="2"/>
  <c r="D11" i="2"/>
  <c r="C11" i="2"/>
  <c r="B11" i="2"/>
  <c r="K10" i="2"/>
  <c r="J10" i="2"/>
  <c r="I10" i="2"/>
  <c r="H10" i="2"/>
  <c r="G10" i="2"/>
  <c r="F10" i="2"/>
  <c r="E10" i="2"/>
  <c r="D10" i="2"/>
  <c r="C10" i="2"/>
  <c r="B10" i="2"/>
  <c r="K9" i="2"/>
  <c r="J9" i="2"/>
  <c r="I9" i="2"/>
  <c r="H9" i="2"/>
  <c r="G9" i="2"/>
  <c r="F9" i="2"/>
  <c r="E9" i="2"/>
  <c r="D9" i="2"/>
  <c r="C9" i="2"/>
  <c r="B9" i="2"/>
  <c r="K8" i="2"/>
  <c r="J8" i="2"/>
  <c r="I8" i="2"/>
  <c r="H8" i="2"/>
  <c r="G8" i="2"/>
  <c r="F8" i="2"/>
  <c r="E8" i="2"/>
  <c r="D8" i="2"/>
  <c r="C8" i="2"/>
  <c r="B8" i="2"/>
  <c r="K7" i="2"/>
  <c r="J7" i="2"/>
  <c r="I7" i="2"/>
  <c r="H7" i="2"/>
  <c r="G7" i="2"/>
  <c r="F7" i="2"/>
  <c r="E7" i="2"/>
  <c r="D7" i="2"/>
  <c r="C7" i="2"/>
  <c r="B7" i="2"/>
  <c r="K6" i="2"/>
  <c r="J6" i="2"/>
  <c r="I6" i="2"/>
  <c r="H6" i="2"/>
  <c r="G6" i="2"/>
  <c r="F6" i="2"/>
  <c r="E6" i="2"/>
  <c r="D6" i="2"/>
  <c r="C6" i="2"/>
  <c r="B6" i="2"/>
  <c r="K5" i="2"/>
  <c r="J5" i="2"/>
  <c r="I5" i="2"/>
  <c r="H5" i="2"/>
  <c r="G5" i="2"/>
  <c r="F5" i="2"/>
  <c r="E5" i="2"/>
  <c r="D5" i="2"/>
  <c r="C5" i="2"/>
  <c r="B5" i="2"/>
  <c r="K4" i="2"/>
  <c r="J4" i="2"/>
  <c r="I4" i="2"/>
  <c r="H4" i="2"/>
  <c r="G4" i="2"/>
  <c r="F4" i="2"/>
  <c r="E4" i="2"/>
  <c r="D4" i="2"/>
  <c r="C4" i="2"/>
  <c r="B4" i="2"/>
  <c r="D64" i="7"/>
  <c r="E64" i="7"/>
  <c r="F64" i="7"/>
  <c r="G64" i="7"/>
  <c r="H64" i="7"/>
  <c r="I64" i="7"/>
  <c r="J64" i="7"/>
  <c r="K64" i="7"/>
  <c r="C64" i="7"/>
  <c r="D64" i="1"/>
  <c r="E64" i="1"/>
  <c r="F64" i="1"/>
  <c r="G64" i="1"/>
  <c r="H64" i="1"/>
  <c r="I64" i="1"/>
  <c r="J64" i="1"/>
  <c r="K64" i="1"/>
  <c r="C64" i="1"/>
  <c r="K4" i="8" l="1"/>
  <c r="J5" i="8" s="1"/>
  <c r="G5" i="8"/>
  <c r="C48" i="3"/>
  <c r="C50" i="4"/>
  <c r="C54" i="4"/>
  <c r="C53" i="4"/>
  <c r="C52" i="4"/>
  <c r="C51" i="4"/>
  <c r="C49" i="4"/>
  <c r="C48" i="4"/>
  <c r="C47" i="4"/>
  <c r="C46" i="4"/>
  <c r="C45" i="4"/>
  <c r="A33" i="4"/>
  <c r="A32" i="4"/>
  <c r="A31" i="4"/>
  <c r="A30" i="4"/>
  <c r="A29" i="4"/>
  <c r="A28" i="4"/>
  <c r="A27" i="4"/>
  <c r="A26" i="4"/>
  <c r="A25" i="4"/>
  <c r="J24" i="4"/>
  <c r="I24" i="4"/>
  <c r="H24" i="4"/>
  <c r="G24" i="4"/>
  <c r="F24" i="4"/>
  <c r="E24" i="4"/>
  <c r="D24" i="4"/>
  <c r="C24" i="4"/>
  <c r="B24" i="4"/>
  <c r="J16" i="4"/>
  <c r="I16" i="4"/>
  <c r="H16" i="4"/>
  <c r="G16" i="4"/>
  <c r="F16" i="4"/>
  <c r="E16" i="4"/>
  <c r="D16" i="4"/>
  <c r="C16" i="4"/>
  <c r="B16" i="4"/>
  <c r="J15" i="4"/>
  <c r="I15" i="4"/>
  <c r="H15" i="4"/>
  <c r="G15" i="4"/>
  <c r="F15" i="4"/>
  <c r="E15" i="4"/>
  <c r="D15" i="4"/>
  <c r="C15" i="4"/>
  <c r="B15" i="4"/>
  <c r="J14" i="4"/>
  <c r="I14" i="4"/>
  <c r="H14" i="4"/>
  <c r="G14" i="4"/>
  <c r="F14" i="4"/>
  <c r="E14" i="4"/>
  <c r="D14" i="4"/>
  <c r="C14" i="4"/>
  <c r="B14" i="4"/>
  <c r="J13" i="4"/>
  <c r="I13" i="4"/>
  <c r="H13" i="4"/>
  <c r="G13" i="4"/>
  <c r="F13" i="4"/>
  <c r="E13" i="4"/>
  <c r="D13" i="4"/>
  <c r="C13" i="4"/>
  <c r="B13" i="4"/>
  <c r="J12" i="4"/>
  <c r="I12" i="4"/>
  <c r="H12" i="4"/>
  <c r="G12" i="4"/>
  <c r="F12" i="4"/>
  <c r="E12" i="4"/>
  <c r="D12" i="4"/>
  <c r="C12" i="4"/>
  <c r="B12" i="4"/>
  <c r="J11" i="4"/>
  <c r="I11" i="4"/>
  <c r="H11" i="4"/>
  <c r="G11" i="4"/>
  <c r="F11" i="4"/>
  <c r="E11" i="4"/>
  <c r="D11" i="4"/>
  <c r="C11" i="4"/>
  <c r="B11" i="4"/>
  <c r="J10" i="4"/>
  <c r="I10" i="4"/>
  <c r="H10" i="4"/>
  <c r="G10" i="4"/>
  <c r="F10" i="4"/>
  <c r="E10" i="4"/>
  <c r="D10" i="4"/>
  <c r="C10" i="4"/>
  <c r="B10" i="4"/>
  <c r="J9" i="4"/>
  <c r="I9" i="4"/>
  <c r="H9" i="4"/>
  <c r="G9" i="4"/>
  <c r="F9" i="4"/>
  <c r="E9" i="4"/>
  <c r="D9" i="4"/>
  <c r="C9" i="4"/>
  <c r="B9" i="4"/>
  <c r="J8" i="4"/>
  <c r="I8" i="4"/>
  <c r="H8" i="4"/>
  <c r="G8" i="4"/>
  <c r="F8" i="4"/>
  <c r="E8" i="4"/>
  <c r="D8" i="4"/>
  <c r="C8" i="4"/>
  <c r="B8" i="4"/>
  <c r="P25" i="5"/>
  <c r="J4" i="4"/>
  <c r="J37" i="4" s="1"/>
  <c r="I4" i="4"/>
  <c r="I37" i="4" s="1"/>
  <c r="H4" i="4"/>
  <c r="H37" i="4" s="1"/>
  <c r="G4" i="4"/>
  <c r="G37" i="4" s="1"/>
  <c r="F4" i="4"/>
  <c r="F37" i="4" s="1"/>
  <c r="E4" i="4"/>
  <c r="E37" i="4" s="1"/>
  <c r="D4" i="4"/>
  <c r="D37" i="4" s="1"/>
  <c r="C4" i="4"/>
  <c r="C37" i="4" s="1"/>
  <c r="B4" i="4"/>
  <c r="B37" i="4" s="1"/>
  <c r="P24" i="5"/>
  <c r="I26" i="4" l="1"/>
  <c r="E26" i="4"/>
  <c r="H26" i="4"/>
  <c r="D26" i="4"/>
  <c r="G26" i="4"/>
  <c r="C26" i="4"/>
  <c r="J26" i="4"/>
  <c r="F26" i="4"/>
  <c r="B26" i="4"/>
  <c r="H27" i="4"/>
  <c r="D27" i="4"/>
  <c r="G27" i="4"/>
  <c r="C27" i="4"/>
  <c r="J27" i="4"/>
  <c r="F27" i="4"/>
  <c r="B27" i="4"/>
  <c r="I27" i="4"/>
  <c r="E27" i="4"/>
  <c r="H31" i="4"/>
  <c r="D31" i="4"/>
  <c r="G31" i="4"/>
  <c r="C31" i="4"/>
  <c r="J31" i="4"/>
  <c r="F31" i="4"/>
  <c r="B31" i="4"/>
  <c r="I31" i="4"/>
  <c r="E31" i="4"/>
  <c r="G28" i="4"/>
  <c r="C28" i="4"/>
  <c r="J28" i="4"/>
  <c r="F28" i="4"/>
  <c r="B28" i="4"/>
  <c r="I28" i="4"/>
  <c r="E28" i="4"/>
  <c r="H28" i="4"/>
  <c r="D28" i="4"/>
  <c r="G32" i="4"/>
  <c r="C32" i="4"/>
  <c r="J32" i="4"/>
  <c r="F32" i="4"/>
  <c r="B32" i="4"/>
  <c r="I32" i="4"/>
  <c r="E32" i="4"/>
  <c r="H32" i="4"/>
  <c r="D32" i="4"/>
  <c r="J25" i="4"/>
  <c r="F25" i="4"/>
  <c r="B25" i="4"/>
  <c r="I25" i="4"/>
  <c r="E25" i="4"/>
  <c r="H25" i="4"/>
  <c r="D25" i="4"/>
  <c r="G25" i="4"/>
  <c r="C25" i="4"/>
  <c r="J29" i="4"/>
  <c r="F29" i="4"/>
  <c r="B29" i="4"/>
  <c r="I29" i="4"/>
  <c r="E29" i="4"/>
  <c r="H29" i="4"/>
  <c r="D29" i="4"/>
  <c r="G29" i="4"/>
  <c r="C29" i="4"/>
  <c r="J33" i="4"/>
  <c r="F33" i="4"/>
  <c r="B33" i="4"/>
  <c r="I33" i="4"/>
  <c r="E33" i="4"/>
  <c r="H33" i="4"/>
  <c r="D33" i="4"/>
  <c r="G33" i="4"/>
  <c r="C33" i="4"/>
  <c r="I30" i="4"/>
  <c r="E30" i="4"/>
  <c r="H30" i="4"/>
  <c r="D30" i="4"/>
  <c r="G30" i="4"/>
  <c r="C30" i="4"/>
  <c r="J30" i="4"/>
  <c r="F30" i="4"/>
  <c r="B30" i="4"/>
  <c r="H5" i="8"/>
  <c r="B5" i="8"/>
  <c r="D5" i="8"/>
  <c r="F5" i="8"/>
  <c r="E5" i="8"/>
  <c r="C5" i="8"/>
  <c r="I5" i="8"/>
  <c r="E39" i="4"/>
  <c r="J10" i="3"/>
  <c r="G4" i="3"/>
  <c r="G37" i="3" s="1"/>
  <c r="D12" i="3"/>
  <c r="J9" i="3"/>
  <c r="B10" i="3"/>
  <c r="E13" i="3"/>
  <c r="I11" i="3"/>
  <c r="H12" i="3"/>
  <c r="B4" i="3"/>
  <c r="B37" i="3" s="1"/>
  <c r="C24" i="3"/>
  <c r="D24" i="3"/>
  <c r="E24" i="3"/>
  <c r="F24" i="3"/>
  <c r="G24" i="3"/>
  <c r="H24" i="3"/>
  <c r="I24" i="3"/>
  <c r="J24" i="3"/>
  <c r="B24" i="3"/>
  <c r="C52" i="3"/>
  <c r="C51" i="3"/>
  <c r="C50" i="3"/>
  <c r="C49" i="3"/>
  <c r="C47" i="3"/>
  <c r="C46" i="3"/>
  <c r="C45" i="3"/>
  <c r="C44" i="3"/>
  <c r="C43" i="3"/>
  <c r="J4" i="3"/>
  <c r="J37" i="3" s="1"/>
  <c r="I4" i="3"/>
  <c r="I37" i="3" s="1"/>
  <c r="H4" i="3"/>
  <c r="H37" i="3" s="1"/>
  <c r="F4" i="3"/>
  <c r="E4" i="3"/>
  <c r="E37" i="3" s="1"/>
  <c r="D4" i="3"/>
  <c r="D37" i="3" s="1"/>
  <c r="C4" i="3"/>
  <c r="C37" i="3" s="1"/>
  <c r="A33" i="3"/>
  <c r="A32" i="3"/>
  <c r="A31" i="3"/>
  <c r="A30" i="3"/>
  <c r="A29" i="3"/>
  <c r="A28" i="3"/>
  <c r="A27" i="3"/>
  <c r="A26" i="3"/>
  <c r="A25" i="3"/>
  <c r="A79" i="2"/>
  <c r="H27" i="3" l="1"/>
  <c r="D27" i="3"/>
  <c r="G27" i="3"/>
  <c r="C27" i="3"/>
  <c r="J27" i="3"/>
  <c r="F27" i="3"/>
  <c r="B27" i="3"/>
  <c r="I27" i="3"/>
  <c r="E27" i="3"/>
  <c r="J25" i="3"/>
  <c r="F25" i="3"/>
  <c r="B25" i="3"/>
  <c r="I25" i="3"/>
  <c r="E25" i="3"/>
  <c r="H25" i="3"/>
  <c r="D25" i="3"/>
  <c r="G25" i="3"/>
  <c r="C25" i="3"/>
  <c r="J29" i="3"/>
  <c r="F29" i="3"/>
  <c r="B29" i="3"/>
  <c r="I29" i="3"/>
  <c r="E29" i="3"/>
  <c r="H29" i="3"/>
  <c r="D29" i="3"/>
  <c r="G29" i="3"/>
  <c r="C29" i="3"/>
  <c r="J33" i="3"/>
  <c r="F33" i="3"/>
  <c r="B33" i="3"/>
  <c r="I33" i="3"/>
  <c r="E33" i="3"/>
  <c r="H33" i="3"/>
  <c r="D33" i="3"/>
  <c r="G33" i="3"/>
  <c r="C33" i="3"/>
  <c r="I26" i="3"/>
  <c r="E26" i="3"/>
  <c r="H26" i="3"/>
  <c r="D26" i="3"/>
  <c r="G26" i="3"/>
  <c r="C26" i="3"/>
  <c r="J26" i="3"/>
  <c r="F26" i="3"/>
  <c r="B26" i="3"/>
  <c r="I30" i="3"/>
  <c r="E30" i="3"/>
  <c r="H30" i="3"/>
  <c r="D30" i="3"/>
  <c r="G30" i="3"/>
  <c r="C30" i="3"/>
  <c r="J30" i="3"/>
  <c r="F30" i="3"/>
  <c r="B30" i="3"/>
  <c r="H31" i="3"/>
  <c r="D31" i="3"/>
  <c r="G31" i="3"/>
  <c r="C31" i="3"/>
  <c r="J31" i="3"/>
  <c r="F31" i="3"/>
  <c r="B31" i="3"/>
  <c r="I31" i="3"/>
  <c r="E31" i="3"/>
  <c r="G28" i="3"/>
  <c r="C28" i="3"/>
  <c r="J28" i="3"/>
  <c r="F28" i="3"/>
  <c r="B28" i="3"/>
  <c r="I28" i="3"/>
  <c r="E28" i="3"/>
  <c r="H28" i="3"/>
  <c r="D28" i="3"/>
  <c r="G32" i="3"/>
  <c r="C32" i="3"/>
  <c r="J32" i="3"/>
  <c r="F32" i="3"/>
  <c r="B32" i="3"/>
  <c r="I32" i="3"/>
  <c r="E32" i="3"/>
  <c r="H32" i="3"/>
  <c r="D32" i="3"/>
  <c r="P7" i="5"/>
  <c r="H39" i="4"/>
  <c r="F37" i="3"/>
  <c r="C53" i="3" s="1"/>
  <c r="D16" i="3"/>
  <c r="I15" i="3"/>
  <c r="I13" i="3"/>
  <c r="G13" i="3"/>
  <c r="E11" i="3"/>
  <c r="C11" i="3"/>
  <c r="E9" i="3"/>
  <c r="C9" i="3"/>
  <c r="H13" i="3"/>
  <c r="F12" i="3"/>
  <c r="F10" i="3"/>
  <c r="G10" i="3"/>
  <c r="D10" i="3"/>
  <c r="C16" i="3"/>
  <c r="D15" i="3"/>
  <c r="D11" i="3"/>
  <c r="C10" i="3"/>
  <c r="J11" i="3"/>
  <c r="G11" i="3"/>
  <c r="E15" i="3"/>
  <c r="C15" i="3"/>
  <c r="J14" i="3"/>
  <c r="J13" i="3"/>
  <c r="F16" i="3"/>
  <c r="I16" i="3"/>
  <c r="E16" i="3"/>
  <c r="G9" i="3"/>
  <c r="H11" i="3"/>
  <c r="G16" i="3"/>
  <c r="D13" i="3"/>
  <c r="J12" i="3"/>
  <c r="E10" i="3"/>
  <c r="C14" i="3"/>
  <c r="J15" i="3"/>
  <c r="F11" i="3"/>
  <c r="H8" i="3"/>
  <c r="F13" i="3"/>
  <c r="C13" i="3"/>
  <c r="H14" i="3"/>
  <c r="G14" i="3"/>
  <c r="G12" i="3"/>
  <c r="E12" i="3"/>
  <c r="G15" i="3"/>
  <c r="I14" i="3"/>
  <c r="E14" i="3"/>
  <c r="D9" i="3"/>
  <c r="H9" i="3"/>
  <c r="D8" i="3"/>
  <c r="J16" i="3"/>
  <c r="B15" i="3"/>
  <c r="I12" i="3"/>
  <c r="H10" i="3"/>
  <c r="F9" i="3"/>
  <c r="I9" i="3"/>
  <c r="I10" i="3"/>
  <c r="C12" i="3"/>
  <c r="D14" i="3"/>
  <c r="E8" i="3"/>
  <c r="I8" i="3"/>
  <c r="B11" i="3"/>
  <c r="B8" i="3"/>
  <c r="F8" i="3"/>
  <c r="J8" i="3"/>
  <c r="B12" i="3"/>
  <c r="B13" i="3"/>
  <c r="B16" i="3"/>
  <c r="C8" i="3"/>
  <c r="G8" i="3"/>
  <c r="B9" i="3"/>
  <c r="B14" i="3"/>
  <c r="H16" i="3"/>
  <c r="F15" i="3"/>
  <c r="H15" i="3"/>
  <c r="F14" i="3"/>
  <c r="D42" i="4" l="1"/>
  <c r="P17" i="5"/>
  <c r="P14" i="5"/>
  <c r="P15" i="5"/>
  <c r="P9" i="5"/>
  <c r="P18" i="5"/>
  <c r="P19" i="5"/>
  <c r="P13" i="5"/>
  <c r="P8" i="5"/>
  <c r="P12" i="5"/>
  <c r="P11" i="5"/>
  <c r="P16" i="5"/>
  <c r="D40" i="3"/>
</calcChain>
</file>

<file path=xl/comments1.xml><?xml version="1.0" encoding="utf-8"?>
<comments xmlns="http://schemas.openxmlformats.org/spreadsheetml/2006/main">
  <authors>
    <author>Author</author>
  </authors>
  <commentList>
    <comment ref="A2" authorId="0" shapeId="0">
      <text>
        <r>
          <rPr>
            <sz val="8"/>
            <color indexed="81"/>
            <rFont val="Tahoma"/>
            <family val="2"/>
          </rPr>
          <t>Source: DATASTREAM
12/1/2014 2:51:06 PM
Rows:182,Cols:21
Request Table</t>
        </r>
      </text>
    </comment>
  </commentList>
</comments>
</file>

<file path=xl/sharedStrings.xml><?xml version="1.0" encoding="utf-8"?>
<sst xmlns="http://schemas.openxmlformats.org/spreadsheetml/2006/main" count="375" uniqueCount="103">
  <si>
    <t>Name</t>
  </si>
  <si>
    <t>CATHAY PACIFIC AIRWAYS - TOT RETURN IND</t>
  </si>
  <si>
    <t>CHEUNG KONG HOLDINGS - TOT RETURN IND</t>
  </si>
  <si>
    <t>CLP HOLDINGS - TOT RETURN IND</t>
  </si>
  <si>
    <t>HANG LUNG GROUP - TOT RETURN IND</t>
  </si>
  <si>
    <t>HANG SENG BANK - TOT RETURN IND</t>
  </si>
  <si>
    <t>HENDERSON LD.DEV. - TOT RETURN IND</t>
  </si>
  <si>
    <t>HONG KONG AND CHINA GAS - TOT RETURN IND</t>
  </si>
  <si>
    <t>HOPEWELL HOLDINGS - TOT RETURN IND</t>
  </si>
  <si>
    <t>HSBC HOLDINGS - TOT RETURN IND</t>
  </si>
  <si>
    <t>Asset1</t>
    <phoneticPr fontId="1" type="noConversion"/>
  </si>
  <si>
    <t>Asset2</t>
    <phoneticPr fontId="1" type="noConversion"/>
  </si>
  <si>
    <t>Asset3</t>
  </si>
  <si>
    <t>Asset4</t>
  </si>
  <si>
    <t>Asset5</t>
  </si>
  <si>
    <t>Asset6</t>
  </si>
  <si>
    <t>Asset7</t>
  </si>
  <si>
    <t>Asset8</t>
  </si>
  <si>
    <t>Asset9</t>
  </si>
  <si>
    <t>HANG SENG - TOT RETURN IND</t>
    <phoneticPr fontId="1" type="noConversion"/>
  </si>
  <si>
    <t>Name</t>
    <phoneticPr fontId="1" type="noConversion"/>
  </si>
  <si>
    <t>-</t>
    <phoneticPr fontId="1" type="noConversion"/>
  </si>
  <si>
    <t>Covariance Matrix</t>
    <phoneticPr fontId="1" type="noConversion"/>
  </si>
  <si>
    <t>HSI Index</t>
    <phoneticPr fontId="1" type="noConversion"/>
  </si>
  <si>
    <t>-</t>
    <phoneticPr fontId="1" type="noConversion"/>
  </si>
  <si>
    <t>Expected Monthly Return
E(Ri)</t>
    <phoneticPr fontId="1" type="noConversion"/>
  </si>
  <si>
    <t xml:space="preserve">Standard Deviation
</t>
    <phoneticPr fontId="1" type="noConversion"/>
  </si>
  <si>
    <t>Correlation Matrix</t>
    <phoneticPr fontId="1" type="noConversion"/>
  </si>
  <si>
    <t>Asset1</t>
    <phoneticPr fontId="1" type="noConversion"/>
  </si>
  <si>
    <t>Asset2</t>
    <phoneticPr fontId="1" type="noConversion"/>
  </si>
  <si>
    <t>Asset3</t>
    <phoneticPr fontId="1" type="noConversion"/>
  </si>
  <si>
    <t>Asset4</t>
    <phoneticPr fontId="1" type="noConversion"/>
  </si>
  <si>
    <t>Asset5</t>
    <phoneticPr fontId="1" type="noConversion"/>
  </si>
  <si>
    <t>Asset6</t>
    <phoneticPr fontId="1" type="noConversion"/>
  </si>
  <si>
    <t>Asset7</t>
    <phoneticPr fontId="1" type="noConversion"/>
  </si>
  <si>
    <t>Asset8</t>
    <phoneticPr fontId="1" type="noConversion"/>
  </si>
  <si>
    <t>Asset9</t>
    <phoneticPr fontId="1" type="noConversion"/>
  </si>
  <si>
    <t>STEP 1:</t>
  </si>
  <si>
    <t>Obtain the Estimated Input Parameters</t>
  </si>
  <si>
    <t>[i]</t>
  </si>
  <si>
    <r>
      <t>Expected Return for Asset (</t>
    </r>
    <r>
      <rPr>
        <i/>
        <sz val="10"/>
        <rFont val="Times New Roman"/>
        <family val="1"/>
      </rPr>
      <t>i</t>
    </r>
    <r>
      <rPr>
        <i/>
        <vertAlign val="superscript"/>
        <sz val="10"/>
        <rFont val="Times New Roman"/>
        <family val="1"/>
      </rPr>
      <t>th</t>
    </r>
    <r>
      <rPr>
        <sz val="11"/>
        <color theme="1"/>
        <rFont val="宋体"/>
        <family val="2"/>
        <scheme val="minor"/>
      </rPr>
      <t xml:space="preserve">) = </t>
    </r>
    <r>
      <rPr>
        <sz val="10"/>
        <rFont val="Times New Roman"/>
        <family val="1"/>
      </rPr>
      <t>E[</t>
    </r>
    <r>
      <rPr>
        <i/>
        <sz val="10"/>
        <rFont val="Times New Roman"/>
        <family val="1"/>
      </rPr>
      <t>R</t>
    </r>
    <r>
      <rPr>
        <i/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]</t>
    </r>
  </si>
  <si>
    <t>[ii]</t>
  </si>
  <si>
    <r>
      <t>Covariance between Asset (</t>
    </r>
    <r>
      <rPr>
        <i/>
        <sz val="10"/>
        <rFont val="Times New Roman"/>
        <family val="1"/>
      </rPr>
      <t>i</t>
    </r>
    <r>
      <rPr>
        <i/>
        <vertAlign val="superscript"/>
        <sz val="10"/>
        <rFont val="Times New Roman"/>
        <family val="1"/>
      </rPr>
      <t>th</t>
    </r>
    <r>
      <rPr>
        <sz val="11"/>
        <color theme="1"/>
        <rFont val="宋体"/>
        <family val="2"/>
        <scheme val="minor"/>
      </rPr>
      <t>) and Asset (</t>
    </r>
    <r>
      <rPr>
        <i/>
        <sz val="10"/>
        <rFont val="Times New Roman"/>
        <family val="1"/>
      </rPr>
      <t>j</t>
    </r>
    <r>
      <rPr>
        <i/>
        <vertAlign val="superscript"/>
        <sz val="10"/>
        <rFont val="Times New Roman"/>
        <family val="1"/>
      </rPr>
      <t>th</t>
    </r>
    <r>
      <rPr>
        <sz val="11"/>
        <color theme="1"/>
        <rFont val="宋体"/>
        <family val="2"/>
        <scheme val="minor"/>
      </rPr>
      <t>)</t>
    </r>
  </si>
  <si>
    <t>STEP 2:</t>
  </si>
  <si>
    <t>Assign Cells for Storing the Solution of Asset Weightings</t>
  </si>
  <si>
    <t>STEP 3:</t>
  </si>
  <si>
    <t>Assign a Cell Containing the Constraint(s)</t>
  </si>
  <si>
    <r>
      <t>(</t>
    </r>
    <r>
      <rPr>
        <sz val="10"/>
        <rFont val="Symbol"/>
        <family val="1"/>
        <charset val="2"/>
      </rPr>
      <t>s</t>
    </r>
    <r>
      <rPr>
        <i/>
        <vertAlign val="subscript"/>
        <sz val="10"/>
        <rFont val="Times New Roman"/>
        <family val="1"/>
      </rPr>
      <t>ij*wi*wj</t>
    </r>
    <r>
      <rPr>
        <sz val="10"/>
        <rFont val="Arial"/>
        <family val="2"/>
      </rPr>
      <t>)</t>
    </r>
    <phoneticPr fontId="11" type="noConversion"/>
  </si>
  <si>
    <t>Assign a Cell Containing the Formula for the Portfolio Expected Return, Given the Weightings</t>
  </si>
  <si>
    <t>STEP 4:</t>
    <phoneticPr fontId="1" type="noConversion"/>
  </si>
  <si>
    <t>E[R]*wi</t>
  </si>
  <si>
    <t>OBJECTIVE FUNCTION:</t>
  </si>
  <si>
    <r>
      <t>Minimize {Portfolio Variance=</t>
    </r>
    <r>
      <rPr>
        <b/>
        <sz val="10"/>
        <rFont val="Symbol"/>
        <family val="1"/>
        <charset val="2"/>
      </rPr>
      <t>s2</t>
    </r>
    <r>
      <rPr>
        <b/>
        <sz val="10"/>
        <rFont val="Arial"/>
        <family val="2"/>
      </rPr>
      <t>}</t>
    </r>
  </si>
  <si>
    <t>CONSTRAINTS:</t>
  </si>
  <si>
    <t>Sum of Weigthings:</t>
  </si>
  <si>
    <t>=</t>
  </si>
  <si>
    <t>&gt;=</t>
  </si>
  <si>
    <t>Required E[R]:</t>
  </si>
  <si>
    <t>no shortselling for asset (1)</t>
    <phoneticPr fontId="1" type="noConversion"/>
  </si>
  <si>
    <t>no shortselling for asset (2)</t>
    <phoneticPr fontId="1" type="noConversion"/>
  </si>
  <si>
    <t>no shortselling for asset (3)</t>
    <phoneticPr fontId="1" type="noConversion"/>
  </si>
  <si>
    <t>no shortselling for asset (4)</t>
    <phoneticPr fontId="1" type="noConversion"/>
  </si>
  <si>
    <t>no shortselling for asset (5)</t>
    <phoneticPr fontId="1" type="noConversion"/>
  </si>
  <si>
    <t>no shortselling for asset (6)</t>
    <phoneticPr fontId="1" type="noConversion"/>
  </si>
  <si>
    <t>no shortselling for asset (7)</t>
    <phoneticPr fontId="1" type="noConversion"/>
  </si>
  <si>
    <t>no shortselling for asset (8)</t>
    <phoneticPr fontId="1" type="noConversion"/>
  </si>
  <si>
    <t>no shortselling for asset (9)</t>
    <phoneticPr fontId="1" type="noConversion"/>
  </si>
  <si>
    <t>START</t>
    <phoneticPr fontId="1" type="noConversion"/>
  </si>
  <si>
    <t>E[R]</t>
    <phoneticPr fontId="1" type="noConversion"/>
  </si>
  <si>
    <t>Var</t>
    <phoneticPr fontId="1" type="noConversion"/>
  </si>
  <si>
    <t>E[R]*wi</t>
    <phoneticPr fontId="1" type="noConversion"/>
  </si>
  <si>
    <t>E[R]</t>
  </si>
  <si>
    <r>
      <t>Maximize {Slope=(E[R]-Rf)/</t>
    </r>
    <r>
      <rPr>
        <b/>
        <sz val="10"/>
        <rFont val="Symbol"/>
        <family val="1"/>
        <charset val="2"/>
      </rPr>
      <t>s</t>
    </r>
    <r>
      <rPr>
        <b/>
        <sz val="10"/>
        <rFont val="Arial"/>
        <family val="2"/>
      </rPr>
      <t>}</t>
    </r>
    <phoneticPr fontId="1" type="noConversion"/>
  </si>
  <si>
    <t>s</t>
    <phoneticPr fontId="1" type="noConversion"/>
  </si>
  <si>
    <t>Rf</t>
    <phoneticPr fontId="1" type="noConversion"/>
  </si>
  <si>
    <t>START</t>
  </si>
  <si>
    <t>wf</t>
  </si>
  <si>
    <t>LEND (Rf)</t>
  </si>
  <si>
    <t>BORROW (Rf)</t>
  </si>
  <si>
    <t>User Expected</t>
    <phoneticPr fontId="1" type="noConversion"/>
  </si>
  <si>
    <t>wf</t>
    <phoneticPr fontId="1" type="noConversion"/>
  </si>
  <si>
    <t>Question(1)</t>
    <phoneticPr fontId="1" type="noConversion"/>
  </si>
  <si>
    <t>Question(2)</t>
    <phoneticPr fontId="1" type="noConversion"/>
  </si>
  <si>
    <t>E[Rm]</t>
    <phoneticPr fontId="1" type="noConversion"/>
  </si>
  <si>
    <r>
      <rPr>
        <b/>
        <sz val="14"/>
        <color theme="1"/>
        <rFont val="Calibri"/>
        <family val="2"/>
      </rPr>
      <t>σ</t>
    </r>
    <r>
      <rPr>
        <b/>
        <sz val="11"/>
        <color theme="1"/>
        <rFont val="Calibri"/>
        <family val="2"/>
      </rPr>
      <t>m</t>
    </r>
    <phoneticPr fontId="1" type="noConversion"/>
  </si>
  <si>
    <t>Market Performance(HSI)</t>
    <phoneticPr fontId="1" type="noConversion"/>
  </si>
  <si>
    <t>HANG SENG - PRICE INDEX</t>
  </si>
  <si>
    <t>CATHAY PACIFIC AIRWAYS</t>
  </si>
  <si>
    <t>CHEUNG KONG HOLDINGS</t>
  </si>
  <si>
    <t>CLP HOLDINGS</t>
  </si>
  <si>
    <t>HANG LUNG GROUP</t>
  </si>
  <si>
    <t>HANG SENG BANK</t>
  </si>
  <si>
    <t>HENDERSON LD.DEV.</t>
  </si>
  <si>
    <t>HONG KONG AND CHINA GAS</t>
  </si>
  <si>
    <t>HOPEWELL HOLDINGS</t>
  </si>
  <si>
    <t>HSBC HOLDINGS</t>
  </si>
  <si>
    <t>Average</t>
    <phoneticPr fontId="1" type="noConversion"/>
  </si>
  <si>
    <t>Average</t>
    <phoneticPr fontId="1" type="noConversion"/>
  </si>
  <si>
    <t>Average Price</t>
    <phoneticPr fontId="1" type="noConversion"/>
  </si>
  <si>
    <t>Average Index Return</t>
    <phoneticPr fontId="1" type="noConversion"/>
  </si>
  <si>
    <t>Market Capital</t>
    <phoneticPr fontId="1" type="noConversion"/>
  </si>
  <si>
    <t>Weight</t>
    <phoneticPr fontId="1" type="noConversion"/>
  </si>
  <si>
    <t>Sum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</si>
</sst>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mmm\-dd\-yyyy"/>
    <numFmt numFmtId="177" formatCode="0.000000"/>
    <numFmt numFmtId="178" formatCode="0.0000%"/>
  </numFmts>
  <fonts count="2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i/>
      <sz val="10"/>
      <name val="Arial"/>
      <family val="2"/>
    </font>
    <font>
      <i/>
      <sz val="10"/>
      <name val="Times New Roman"/>
      <family val="1"/>
    </font>
    <font>
      <i/>
      <vertAlign val="superscript"/>
      <sz val="10"/>
      <name val="Times New Roman"/>
      <family val="1"/>
    </font>
    <font>
      <sz val="10"/>
      <name val="Times New Roman"/>
      <family val="1"/>
    </font>
    <font>
      <i/>
      <vertAlign val="subscript"/>
      <sz val="10"/>
      <name val="Times New Roman"/>
      <family val="1"/>
    </font>
    <font>
      <sz val="10"/>
      <name val="Arial"/>
      <family val="2"/>
    </font>
    <font>
      <sz val="10"/>
      <name val="Symbol"/>
      <family val="1"/>
      <charset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176" fontId="3" fillId="0" borderId="0" xfId="0" applyNumberFormat="1" applyFont="1" applyFill="1"/>
    <xf numFmtId="0" fontId="3" fillId="0" borderId="0" xfId="0" applyFont="1" applyFill="1"/>
    <xf numFmtId="176" fontId="3" fillId="0" borderId="0" xfId="0" applyNumberFormat="1" applyFont="1" applyFill="1" applyAlignment="1">
      <alignment wrapText="1"/>
    </xf>
    <xf numFmtId="0" fontId="3" fillId="0" borderId="0" xfId="0" applyFont="1" applyFill="1" applyAlignment="1">
      <alignment wrapText="1"/>
    </xf>
    <xf numFmtId="176" fontId="4" fillId="0" borderId="0" xfId="0" applyNumberFormat="1" applyFont="1" applyFill="1"/>
    <xf numFmtId="0" fontId="4" fillId="0" borderId="0" xfId="0" applyFont="1" applyFill="1"/>
    <xf numFmtId="0" fontId="2" fillId="0" borderId="0" xfId="0" applyFont="1"/>
    <xf numFmtId="10" fontId="2" fillId="0" borderId="0" xfId="0" applyNumberFormat="1" applyFont="1"/>
    <xf numFmtId="0" fontId="5" fillId="0" borderId="0" xfId="0" applyFont="1" applyAlignment="1">
      <alignment horizontal="right"/>
    </xf>
    <xf numFmtId="0" fontId="2" fillId="0" borderId="0" xfId="0" applyNumberFormat="1" applyFont="1"/>
    <xf numFmtId="0" fontId="4" fillId="0" borderId="0" xfId="0" applyFont="1" applyFill="1" applyAlignment="1">
      <alignment wrapText="1"/>
    </xf>
    <xf numFmtId="0" fontId="2" fillId="0" borderId="1" xfId="0" applyFont="1" applyBorder="1"/>
    <xf numFmtId="10" fontId="2" fillId="0" borderId="1" xfId="0" applyNumberFormat="1" applyFont="1" applyBorder="1"/>
    <xf numFmtId="0" fontId="2" fillId="0" borderId="1" xfId="0" applyFont="1" applyBorder="1" applyAlignment="1">
      <alignment wrapText="1"/>
    </xf>
    <xf numFmtId="0" fontId="4" fillId="0" borderId="1" xfId="0" applyFont="1" applyFill="1" applyBorder="1"/>
    <xf numFmtId="0" fontId="5" fillId="0" borderId="1" xfId="0" applyFont="1" applyBorder="1" applyAlignment="1">
      <alignment horizontal="right"/>
    </xf>
    <xf numFmtId="0" fontId="6" fillId="0" borderId="0" xfId="0" applyFont="1"/>
    <xf numFmtId="10" fontId="0" fillId="0" borderId="0" xfId="0" applyNumberFormat="1"/>
    <xf numFmtId="10" fontId="0" fillId="0" borderId="1" xfId="0" applyNumberFormat="1" applyBorder="1"/>
    <xf numFmtId="0" fontId="11" fillId="0" borderId="0" xfId="0" applyFont="1" applyAlignment="1">
      <alignment horizontal="center"/>
    </xf>
    <xf numFmtId="0" fontId="0" fillId="0" borderId="0" xfId="0" applyProtection="1"/>
    <xf numFmtId="0" fontId="13" fillId="0" borderId="2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0" borderId="5" xfId="0" applyFont="1" applyBorder="1" applyProtection="1"/>
    <xf numFmtId="0" fontId="0" fillId="0" borderId="0" xfId="0" applyBorder="1" applyProtection="1"/>
    <xf numFmtId="177" fontId="14" fillId="0" borderId="6" xfId="0" applyNumberFormat="1" applyFont="1" applyFill="1" applyBorder="1" applyProtection="1"/>
    <xf numFmtId="0" fontId="0" fillId="0" borderId="7" xfId="0" applyBorder="1" applyProtection="1"/>
    <xf numFmtId="0" fontId="0" fillId="0" borderId="5" xfId="0" applyBorder="1" applyProtection="1"/>
    <xf numFmtId="0" fontId="13" fillId="0" borderId="5" xfId="0" applyFont="1" applyBorder="1" applyProtection="1"/>
    <xf numFmtId="10" fontId="0" fillId="0" borderId="0" xfId="0" applyNumberFormat="1" applyBorder="1" applyProtection="1"/>
    <xf numFmtId="0" fontId="0" fillId="0" borderId="0" xfId="0" quotePrefix="1" applyBorder="1" applyAlignment="1" applyProtection="1">
      <alignment horizontal="center"/>
    </xf>
    <xf numFmtId="9" fontId="0" fillId="0" borderId="0" xfId="0" applyNumberFormat="1" applyBorder="1" applyProtection="1"/>
    <xf numFmtId="0" fontId="0" fillId="0" borderId="0" xfId="0" applyBorder="1" applyAlignment="1" applyProtection="1">
      <alignment horizontal="center"/>
    </xf>
    <xf numFmtId="10" fontId="14" fillId="2" borderId="6" xfId="0" applyNumberFormat="1" applyFont="1" applyFill="1" applyBorder="1" applyProtection="1"/>
    <xf numFmtId="0" fontId="14" fillId="0" borderId="0" xfId="0" applyFont="1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9" fontId="0" fillId="3" borderId="0" xfId="0" applyNumberFormat="1" applyFill="1"/>
    <xf numFmtId="0" fontId="16" fillId="0" borderId="0" xfId="0" applyFont="1"/>
    <xf numFmtId="178" fontId="0" fillId="0" borderId="0" xfId="0" applyNumberFormat="1"/>
    <xf numFmtId="178" fontId="0" fillId="0" borderId="1" xfId="0" applyNumberFormat="1" applyBorder="1"/>
    <xf numFmtId="0" fontId="0" fillId="0" borderId="1" xfId="0" applyBorder="1"/>
    <xf numFmtId="0" fontId="15" fillId="0" borderId="1" xfId="0" applyFont="1" applyBorder="1" applyAlignment="1" applyProtection="1">
      <alignment horizontal="center"/>
    </xf>
    <xf numFmtId="10" fontId="0" fillId="0" borderId="11" xfId="0" applyNumberFormat="1" applyBorder="1" applyProtection="1"/>
    <xf numFmtId="0" fontId="16" fillId="0" borderId="1" xfId="0" applyFont="1" applyBorder="1"/>
    <xf numFmtId="10" fontId="0" fillId="0" borderId="12" xfId="0" applyNumberFormat="1" applyBorder="1" applyProtection="1"/>
    <xf numFmtId="0" fontId="0" fillId="0" borderId="1" xfId="0" applyBorder="1" applyProtection="1"/>
    <xf numFmtId="9" fontId="0" fillId="0" borderId="1" xfId="0" applyNumberFormat="1" applyBorder="1" applyProtection="1"/>
    <xf numFmtId="9" fontId="0" fillId="0" borderId="12" xfId="0" applyNumberFormat="1" applyBorder="1" applyProtection="1"/>
    <xf numFmtId="0" fontId="0" fillId="0" borderId="11" xfId="0" applyBorder="1" applyProtection="1"/>
    <xf numFmtId="9" fontId="0" fillId="0" borderId="11" xfId="0" applyNumberFormat="1" applyBorder="1" applyProtection="1"/>
    <xf numFmtId="0" fontId="16" fillId="0" borderId="12" xfId="0" applyFont="1" applyBorder="1" applyProtection="1"/>
    <xf numFmtId="0" fontId="14" fillId="0" borderId="11" xfId="0" applyFont="1" applyBorder="1" applyProtection="1"/>
    <xf numFmtId="0" fontId="14" fillId="0" borderId="11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4" fillId="0" borderId="11" xfId="0" applyFont="1" applyFill="1" applyBorder="1"/>
    <xf numFmtId="0" fontId="15" fillId="0" borderId="1" xfId="0" applyFont="1" applyBorder="1" applyAlignment="1" applyProtection="1">
      <alignment horizontal="left"/>
    </xf>
    <xf numFmtId="0" fontId="18" fillId="0" borderId="1" xfId="0" applyFont="1" applyBorder="1"/>
    <xf numFmtId="0" fontId="19" fillId="0" borderId="1" xfId="0" applyFont="1" applyBorder="1"/>
    <xf numFmtId="0" fontId="16" fillId="0" borderId="0" xfId="0" applyFont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176" fontId="0" fillId="0" borderId="0" xfId="0" applyNumberFormat="1" applyFill="1"/>
    <xf numFmtId="0" fontId="18" fillId="0" borderId="0" xfId="0" applyFont="1" applyFill="1"/>
    <xf numFmtId="10" fontId="0" fillId="3" borderId="1" xfId="0" applyNumberFormat="1" applyFill="1" applyBorder="1"/>
    <xf numFmtId="0" fontId="16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MVF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'Solution(MVF)'!$C$58:$C$76</c:f>
              <c:numCache>
                <c:formatCode>0.00%</c:formatCode>
                <c:ptCount val="19"/>
                <c:pt idx="0">
                  <c:v>5.9129995860619976E-2</c:v>
                </c:pt>
                <c:pt idx="1">
                  <c:v>5.4155259899181185E-2</c:v>
                </c:pt>
                <c:pt idx="2">
                  <c:v>4.9361703237144117E-2</c:v>
                </c:pt>
                <c:pt idx="3">
                  <c:v>4.4807512371255798E-2</c:v>
                </c:pt>
                <c:pt idx="4">
                  <c:v>4.0573371223123877E-2</c:v>
                </c:pt>
                <c:pt idx="5">
                  <c:v>3.6769974099372951E-2</c:v>
                </c:pt>
                <c:pt idx="6">
                  <c:v>3.3543731707057864E-2</c:v>
                </c:pt>
                <c:pt idx="7">
                  <c:v>3.1015299486564885E-2</c:v>
                </c:pt>
                <c:pt idx="8">
                  <c:v>2.9322918644001252E-2</c:v>
                </c:pt>
                <c:pt idx="9">
                  <c:v>2.8569308263960685E-2</c:v>
                </c:pt>
                <c:pt idx="10">
                  <c:v>2.8710612066770769E-2</c:v>
                </c:pt>
                <c:pt idx="11">
                  <c:v>3.0033248096088372E-2</c:v>
                </c:pt>
                <c:pt idx="12">
                  <c:v>3.2107002800239919E-2</c:v>
                </c:pt>
                <c:pt idx="13">
                  <c:v>3.4885673186741309E-2</c:v>
                </c:pt>
                <c:pt idx="14">
                  <c:v>3.8260754613024334E-2</c:v>
                </c:pt>
                <c:pt idx="15">
                  <c:v>4.216828771966686E-2</c:v>
                </c:pt>
                <c:pt idx="16">
                  <c:v>4.6486971489269002E-2</c:v>
                </c:pt>
                <c:pt idx="17">
                  <c:v>5.137911848050801E-2</c:v>
                </c:pt>
                <c:pt idx="18">
                  <c:v>6.2647532086162361E-2</c:v>
                </c:pt>
              </c:numCache>
            </c:numRef>
          </c:xVal>
          <c:yVal>
            <c:numRef>
              <c:f>'Solution(MVF)'!$A$58:$A$76</c:f>
              <c:numCache>
                <c:formatCode>0.00%</c:formatCode>
                <c:ptCount val="19"/>
                <c:pt idx="0">
                  <c:v>3.0000000000000001E-3</c:v>
                </c:pt>
                <c:pt idx="1">
                  <c:v>3.5000000000000001E-3</c:v>
                </c:pt>
                <c:pt idx="2">
                  <c:v>4.0000000000000001E-3</c:v>
                </c:pt>
                <c:pt idx="3">
                  <c:v>4.4999999999999997E-3</c:v>
                </c:pt>
                <c:pt idx="4">
                  <c:v>5.0000000000000001E-3</c:v>
                </c:pt>
                <c:pt idx="5">
                  <c:v>5.4999999999999997E-3</c:v>
                </c:pt>
                <c:pt idx="6">
                  <c:v>6.0000000000000001E-3</c:v>
                </c:pt>
                <c:pt idx="7">
                  <c:v>6.4999999999999997E-3</c:v>
                </c:pt>
                <c:pt idx="8">
                  <c:v>7.0000000000000001E-3</c:v>
                </c:pt>
                <c:pt idx="9">
                  <c:v>7.4999999999999997E-3</c:v>
                </c:pt>
                <c:pt idx="10">
                  <c:v>8.0000000000000002E-3</c:v>
                </c:pt>
                <c:pt idx="11">
                  <c:v>8.5000000000000006E-3</c:v>
                </c:pt>
                <c:pt idx="12">
                  <c:v>8.9999999999999993E-3</c:v>
                </c:pt>
                <c:pt idx="13">
                  <c:v>9.4999999999999998E-3</c:v>
                </c:pt>
                <c:pt idx="14">
                  <c:v>0.01</c:v>
                </c:pt>
                <c:pt idx="15">
                  <c:v>1.0500000000000001E-2</c:v>
                </c:pt>
                <c:pt idx="16">
                  <c:v>1.0999999999999999E-2</c:v>
                </c:pt>
                <c:pt idx="17">
                  <c:v>1.15E-2</c:v>
                </c:pt>
                <c:pt idx="18">
                  <c:v>1.2E-2</c:v>
                </c:pt>
              </c:numCache>
            </c:numRef>
          </c:yVal>
          <c:smooth val="1"/>
        </c:ser>
        <c:ser>
          <c:idx val="1"/>
          <c:order val="1"/>
          <c:tx>
            <c:v>CAL(T)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'Solution(T)'!$D$58:$D$79</c:f>
              <c:numCache>
                <c:formatCode>0.00%</c:formatCode>
                <c:ptCount val="22"/>
                <c:pt idx="0">
                  <c:v>3.0444021390206959E-2</c:v>
                </c:pt>
                <c:pt idx="1">
                  <c:v>2.7399619251186263E-2</c:v>
                </c:pt>
                <c:pt idx="2">
                  <c:v>2.4355217112165567E-2</c:v>
                </c:pt>
                <c:pt idx="3">
                  <c:v>2.1310814973144871E-2</c:v>
                </c:pt>
                <c:pt idx="4">
                  <c:v>1.8266412834124175E-2</c:v>
                </c:pt>
                <c:pt idx="5">
                  <c:v>1.5222010695103479E-2</c:v>
                </c:pt>
                <c:pt idx="6">
                  <c:v>1.2177608556082783E-2</c:v>
                </c:pt>
                <c:pt idx="7">
                  <c:v>9.1332064170620893E-3</c:v>
                </c:pt>
                <c:pt idx="8">
                  <c:v>6.08880427804139E-3</c:v>
                </c:pt>
                <c:pt idx="9">
                  <c:v>3.044402139020695E-3</c:v>
                </c:pt>
                <c:pt idx="10">
                  <c:v>0</c:v>
                </c:pt>
                <c:pt idx="11">
                  <c:v>3.0444021390206959E-2</c:v>
                </c:pt>
                <c:pt idx="12">
                  <c:v>3.3488423529227658E-2</c:v>
                </c:pt>
                <c:pt idx="13">
                  <c:v>3.653282566824835E-2</c:v>
                </c:pt>
                <c:pt idx="14">
                  <c:v>3.957722780726905E-2</c:v>
                </c:pt>
                <c:pt idx="15">
                  <c:v>4.2621629946289742E-2</c:v>
                </c:pt>
                <c:pt idx="16">
                  <c:v>4.5666032085310435E-2</c:v>
                </c:pt>
                <c:pt idx="17">
                  <c:v>4.8710434224331134E-2</c:v>
                </c:pt>
                <c:pt idx="18">
                  <c:v>5.1754836363351826E-2</c:v>
                </c:pt>
                <c:pt idx="19">
                  <c:v>5.4799238502372526E-2</c:v>
                </c:pt>
                <c:pt idx="20">
                  <c:v>5.7843640641393218E-2</c:v>
                </c:pt>
                <c:pt idx="21">
                  <c:v>6.0888042780413917E-2</c:v>
                </c:pt>
              </c:numCache>
            </c:numRef>
          </c:xVal>
          <c:yVal>
            <c:numRef>
              <c:f>'Solution(T)'!$C$58:$C$79</c:f>
              <c:numCache>
                <c:formatCode>0.00%</c:formatCode>
                <c:ptCount val="22"/>
                <c:pt idx="0">
                  <c:v>8.6150414779072332E-3</c:v>
                </c:pt>
                <c:pt idx="1">
                  <c:v>7.8035373301165098E-3</c:v>
                </c:pt>
                <c:pt idx="2">
                  <c:v>6.9920331823257872E-3</c:v>
                </c:pt>
                <c:pt idx="3">
                  <c:v>6.1805290345350629E-3</c:v>
                </c:pt>
                <c:pt idx="4">
                  <c:v>5.3690248867443394E-3</c:v>
                </c:pt>
                <c:pt idx="5">
                  <c:v>4.5575207389536168E-3</c:v>
                </c:pt>
                <c:pt idx="6">
                  <c:v>3.7460165911628934E-3</c:v>
                </c:pt>
                <c:pt idx="7">
                  <c:v>2.9345124433721704E-3</c:v>
                </c:pt>
                <c:pt idx="8">
                  <c:v>2.1230082955814465E-3</c:v>
                </c:pt>
                <c:pt idx="9">
                  <c:v>1.3115041477907232E-3</c:v>
                </c:pt>
                <c:pt idx="10">
                  <c:v>5.0000000000000001E-4</c:v>
                </c:pt>
                <c:pt idx="11">
                  <c:v>8.6150414779072332E-3</c:v>
                </c:pt>
                <c:pt idx="12">
                  <c:v>9.4265456256979584E-3</c:v>
                </c:pt>
                <c:pt idx="13">
                  <c:v>1.023804977348868E-2</c:v>
                </c:pt>
                <c:pt idx="14">
                  <c:v>1.1049553921279404E-2</c:v>
                </c:pt>
                <c:pt idx="15">
                  <c:v>1.1861058069070125E-2</c:v>
                </c:pt>
                <c:pt idx="16">
                  <c:v>1.2672562216860851E-2</c:v>
                </c:pt>
                <c:pt idx="17">
                  <c:v>1.3484066364651574E-2</c:v>
                </c:pt>
                <c:pt idx="18">
                  <c:v>1.4295570512442296E-2</c:v>
                </c:pt>
                <c:pt idx="19">
                  <c:v>1.5107074660233021E-2</c:v>
                </c:pt>
                <c:pt idx="20">
                  <c:v>1.5918578808023744E-2</c:v>
                </c:pt>
                <c:pt idx="21">
                  <c:v>1.6730082955814466E-2</c:v>
                </c:pt>
              </c:numCache>
            </c:numRef>
          </c:yVal>
          <c:smooth val="1"/>
        </c:ser>
        <c:ser>
          <c:idx val="2"/>
          <c:order val="2"/>
          <c:tx>
            <c:v>User Requirement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Chart!$P$9</c:f>
              <c:numCache>
                <c:formatCode>0.0000%</c:formatCode>
                <c:ptCount val="1"/>
                <c:pt idx="0">
                  <c:v>2.8136659689068609E-2</c:v>
                </c:pt>
              </c:numCache>
            </c:numRef>
          </c:xVal>
          <c:yVal>
            <c:numRef>
              <c:f>Chart!$P$8</c:f>
              <c:numCache>
                <c:formatCode>0.0000%</c:formatCode>
                <c:ptCount val="1"/>
                <c:pt idx="0">
                  <c:v>8.0000000000000002E-3</c:v>
                </c:pt>
              </c:numCache>
            </c:numRef>
          </c:yVal>
          <c:smooth val="1"/>
        </c:ser>
        <c:ser>
          <c:idx val="3"/>
          <c:order val="3"/>
          <c:tx>
            <c:v>CML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Chart!$P$25:$Q$25</c:f>
              <c:numCache>
                <c:formatCode>General</c:formatCode>
                <c:ptCount val="2"/>
                <c:pt idx="0" formatCode="0.00%">
                  <c:v>5.1175252302183991E-2</c:v>
                </c:pt>
                <c:pt idx="1">
                  <c:v>0</c:v>
                </c:pt>
              </c:numCache>
            </c:numRef>
          </c:xVal>
          <c:yVal>
            <c:numRef>
              <c:f>Chart!$P$24:$Q$24</c:f>
              <c:numCache>
                <c:formatCode>0.00%</c:formatCode>
                <c:ptCount val="2"/>
                <c:pt idx="0">
                  <c:v>5.7970489882842773E-3</c:v>
                </c:pt>
                <c:pt idx="1">
                  <c:v>5.0000000000000001E-4</c:v>
                </c:pt>
              </c:numCache>
            </c:numRef>
          </c:yVal>
          <c:smooth val="1"/>
        </c:ser>
        <c:ser>
          <c:idx val="4"/>
          <c:order val="4"/>
          <c:tx>
            <c:v>Question 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'Question 3'!$E$36</c:f>
              <c:numCache>
                <c:formatCode>0.0000%</c:formatCode>
                <c:ptCount val="1"/>
                <c:pt idx="0">
                  <c:v>2.1752857909306074E-3</c:v>
                </c:pt>
              </c:numCache>
            </c:numRef>
          </c:xVal>
          <c:yVal>
            <c:numRef>
              <c:f>'Question 3'!$B$36</c:f>
              <c:numCache>
                <c:formatCode>0.00%</c:formatCode>
                <c:ptCount val="1"/>
                <c:pt idx="0">
                  <c:v>1.0210246103673548E-2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479544"/>
        <c:axId val="316479936"/>
      </c:scatterChart>
      <c:valAx>
        <c:axId val="316479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/>
                  <a:t>Standard Deviation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479936"/>
        <c:crosses val="autoZero"/>
        <c:crossBetween val="midCat"/>
      </c:valAx>
      <c:valAx>
        <c:axId val="3164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/>
                  <a:t>Expected</a:t>
                </a:r>
                <a:r>
                  <a:rPr lang="en-US" altLang="zh-CN" sz="1400" b="1" baseline="0"/>
                  <a:t> Return </a:t>
                </a:r>
                <a:r>
                  <a:rPr lang="en-US" altLang="zh-CN" sz="1400" b="1"/>
                  <a:t>E(R)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479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'Solution(T)'!$D$58:$D$79</c:f>
              <c:numCache>
                <c:formatCode>0.00%</c:formatCode>
                <c:ptCount val="22"/>
                <c:pt idx="0">
                  <c:v>3.0444021390206959E-2</c:v>
                </c:pt>
                <c:pt idx="1">
                  <c:v>2.7399619251186263E-2</c:v>
                </c:pt>
                <c:pt idx="2">
                  <c:v>2.4355217112165567E-2</c:v>
                </c:pt>
                <c:pt idx="3">
                  <c:v>2.1310814973144871E-2</c:v>
                </c:pt>
                <c:pt idx="4">
                  <c:v>1.8266412834124175E-2</c:v>
                </c:pt>
                <c:pt idx="5">
                  <c:v>1.5222010695103479E-2</c:v>
                </c:pt>
                <c:pt idx="6">
                  <c:v>1.2177608556082783E-2</c:v>
                </c:pt>
                <c:pt idx="7">
                  <c:v>9.1332064170620893E-3</c:v>
                </c:pt>
                <c:pt idx="8">
                  <c:v>6.08880427804139E-3</c:v>
                </c:pt>
                <c:pt idx="9">
                  <c:v>3.044402139020695E-3</c:v>
                </c:pt>
                <c:pt idx="10">
                  <c:v>0</c:v>
                </c:pt>
                <c:pt idx="11">
                  <c:v>3.0444021390206959E-2</c:v>
                </c:pt>
                <c:pt idx="12">
                  <c:v>3.3488423529227658E-2</c:v>
                </c:pt>
                <c:pt idx="13">
                  <c:v>3.653282566824835E-2</c:v>
                </c:pt>
                <c:pt idx="14">
                  <c:v>3.957722780726905E-2</c:v>
                </c:pt>
                <c:pt idx="15">
                  <c:v>4.2621629946289742E-2</c:v>
                </c:pt>
                <c:pt idx="16">
                  <c:v>4.5666032085310435E-2</c:v>
                </c:pt>
                <c:pt idx="17">
                  <c:v>4.8710434224331134E-2</c:v>
                </c:pt>
                <c:pt idx="18">
                  <c:v>5.1754836363351826E-2</c:v>
                </c:pt>
                <c:pt idx="19">
                  <c:v>5.4799238502372526E-2</c:v>
                </c:pt>
                <c:pt idx="20">
                  <c:v>5.7843640641393218E-2</c:v>
                </c:pt>
                <c:pt idx="21">
                  <c:v>6.0888042780413917E-2</c:v>
                </c:pt>
              </c:numCache>
            </c:numRef>
          </c:xVal>
          <c:yVal>
            <c:numRef>
              <c:f>'Solution(T)'!$C$58:$C$79</c:f>
              <c:numCache>
                <c:formatCode>0.00%</c:formatCode>
                <c:ptCount val="22"/>
                <c:pt idx="0">
                  <c:v>8.6150414779072332E-3</c:v>
                </c:pt>
                <c:pt idx="1">
                  <c:v>7.8035373301165098E-3</c:v>
                </c:pt>
                <c:pt idx="2">
                  <c:v>6.9920331823257872E-3</c:v>
                </c:pt>
                <c:pt idx="3">
                  <c:v>6.1805290345350629E-3</c:v>
                </c:pt>
                <c:pt idx="4">
                  <c:v>5.3690248867443394E-3</c:v>
                </c:pt>
                <c:pt idx="5">
                  <c:v>4.5575207389536168E-3</c:v>
                </c:pt>
                <c:pt idx="6">
                  <c:v>3.7460165911628934E-3</c:v>
                </c:pt>
                <c:pt idx="7">
                  <c:v>2.9345124433721704E-3</c:v>
                </c:pt>
                <c:pt idx="8">
                  <c:v>2.1230082955814465E-3</c:v>
                </c:pt>
                <c:pt idx="9">
                  <c:v>1.3115041477907232E-3</c:v>
                </c:pt>
                <c:pt idx="10">
                  <c:v>5.0000000000000001E-4</c:v>
                </c:pt>
                <c:pt idx="11">
                  <c:v>8.6150414779072332E-3</c:v>
                </c:pt>
                <c:pt idx="12">
                  <c:v>9.4265456256979584E-3</c:v>
                </c:pt>
                <c:pt idx="13">
                  <c:v>1.023804977348868E-2</c:v>
                </c:pt>
                <c:pt idx="14">
                  <c:v>1.1049553921279404E-2</c:v>
                </c:pt>
                <c:pt idx="15">
                  <c:v>1.1861058069070125E-2</c:v>
                </c:pt>
                <c:pt idx="16">
                  <c:v>1.2672562216860851E-2</c:v>
                </c:pt>
                <c:pt idx="17">
                  <c:v>1.3484066364651574E-2</c:v>
                </c:pt>
                <c:pt idx="18">
                  <c:v>1.4295570512442296E-2</c:v>
                </c:pt>
                <c:pt idx="19">
                  <c:v>1.5107074660233021E-2</c:v>
                </c:pt>
                <c:pt idx="20">
                  <c:v>1.5918578808023744E-2</c:v>
                </c:pt>
                <c:pt idx="21">
                  <c:v>1.6730082955814466E-2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483856"/>
        <c:axId val="316484248"/>
      </c:scatterChart>
      <c:valAx>
        <c:axId val="31648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484248"/>
        <c:crosses val="autoZero"/>
        <c:crossBetween val="midCat"/>
      </c:valAx>
      <c:valAx>
        <c:axId val="31648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48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'Solution(MVF)'!$C$58:$C$76</c:f>
              <c:numCache>
                <c:formatCode>0.00%</c:formatCode>
                <c:ptCount val="19"/>
                <c:pt idx="0">
                  <c:v>5.9129995860619976E-2</c:v>
                </c:pt>
                <c:pt idx="1">
                  <c:v>5.4155259899181185E-2</c:v>
                </c:pt>
                <c:pt idx="2">
                  <c:v>4.9361703237144117E-2</c:v>
                </c:pt>
                <c:pt idx="3">
                  <c:v>4.4807512371255798E-2</c:v>
                </c:pt>
                <c:pt idx="4">
                  <c:v>4.0573371223123877E-2</c:v>
                </c:pt>
                <c:pt idx="5">
                  <c:v>3.6769974099372951E-2</c:v>
                </c:pt>
                <c:pt idx="6">
                  <c:v>3.3543731707057864E-2</c:v>
                </c:pt>
                <c:pt idx="7">
                  <c:v>3.1015299486564885E-2</c:v>
                </c:pt>
                <c:pt idx="8">
                  <c:v>2.9322918644001252E-2</c:v>
                </c:pt>
                <c:pt idx="9">
                  <c:v>2.8569308263960685E-2</c:v>
                </c:pt>
                <c:pt idx="10">
                  <c:v>2.8710612066770769E-2</c:v>
                </c:pt>
                <c:pt idx="11">
                  <c:v>3.0033248096088372E-2</c:v>
                </c:pt>
                <c:pt idx="12">
                  <c:v>3.2107002800239919E-2</c:v>
                </c:pt>
                <c:pt idx="13">
                  <c:v>3.4885673186741309E-2</c:v>
                </c:pt>
                <c:pt idx="14">
                  <c:v>3.8260754613024334E-2</c:v>
                </c:pt>
                <c:pt idx="15">
                  <c:v>4.216828771966686E-2</c:v>
                </c:pt>
                <c:pt idx="16">
                  <c:v>4.6486971489269002E-2</c:v>
                </c:pt>
                <c:pt idx="17">
                  <c:v>5.137911848050801E-2</c:v>
                </c:pt>
                <c:pt idx="18">
                  <c:v>6.2647532086162361E-2</c:v>
                </c:pt>
              </c:numCache>
            </c:numRef>
          </c:xVal>
          <c:yVal>
            <c:numRef>
              <c:f>'Solution(MVF)'!$A$58:$A$76</c:f>
              <c:numCache>
                <c:formatCode>0.00%</c:formatCode>
                <c:ptCount val="19"/>
                <c:pt idx="0">
                  <c:v>3.0000000000000001E-3</c:v>
                </c:pt>
                <c:pt idx="1">
                  <c:v>3.5000000000000001E-3</c:v>
                </c:pt>
                <c:pt idx="2">
                  <c:v>4.0000000000000001E-3</c:v>
                </c:pt>
                <c:pt idx="3">
                  <c:v>4.4999999999999997E-3</c:v>
                </c:pt>
                <c:pt idx="4">
                  <c:v>5.0000000000000001E-3</c:v>
                </c:pt>
                <c:pt idx="5">
                  <c:v>5.4999999999999997E-3</c:v>
                </c:pt>
                <c:pt idx="6">
                  <c:v>6.0000000000000001E-3</c:v>
                </c:pt>
                <c:pt idx="7">
                  <c:v>6.4999999999999997E-3</c:v>
                </c:pt>
                <c:pt idx="8">
                  <c:v>7.0000000000000001E-3</c:v>
                </c:pt>
                <c:pt idx="9">
                  <c:v>7.4999999999999997E-3</c:v>
                </c:pt>
                <c:pt idx="10">
                  <c:v>8.0000000000000002E-3</c:v>
                </c:pt>
                <c:pt idx="11">
                  <c:v>8.5000000000000006E-3</c:v>
                </c:pt>
                <c:pt idx="12">
                  <c:v>8.9999999999999993E-3</c:v>
                </c:pt>
                <c:pt idx="13">
                  <c:v>9.4999999999999998E-3</c:v>
                </c:pt>
                <c:pt idx="14">
                  <c:v>0.01</c:v>
                </c:pt>
                <c:pt idx="15">
                  <c:v>1.0500000000000001E-2</c:v>
                </c:pt>
                <c:pt idx="16">
                  <c:v>1.0999999999999999E-2</c:v>
                </c:pt>
                <c:pt idx="17">
                  <c:v>1.15E-2</c:v>
                </c:pt>
                <c:pt idx="18">
                  <c:v>1.2E-2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197264"/>
        <c:axId val="317192560"/>
      </c:scatterChart>
      <c:valAx>
        <c:axId val="317197264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7192560"/>
        <c:crosses val="autoZero"/>
        <c:crossBetween val="midCat"/>
      </c:valAx>
      <c:valAx>
        <c:axId val="317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719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61911</xdr:rowOff>
    </xdr:from>
    <xdr:to>
      <xdr:col>13</xdr:col>
      <xdr:colOff>552450</xdr:colOff>
      <xdr:row>32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104775</xdr:rowOff>
        </xdr:from>
        <xdr:to>
          <xdr:col>2</xdr:col>
          <xdr:colOff>247650</xdr:colOff>
          <xdr:row>22</xdr:row>
          <xdr:rowOff>161925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28575</xdr:rowOff>
        </xdr:from>
        <xdr:to>
          <xdr:col>6</xdr:col>
          <xdr:colOff>628650</xdr:colOff>
          <xdr:row>22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Calcualte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0</xdr:rowOff>
        </xdr:from>
        <xdr:to>
          <xdr:col>7</xdr:col>
          <xdr:colOff>542925</xdr:colOff>
          <xdr:row>46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48</xdr:row>
          <xdr:rowOff>9525</xdr:rowOff>
        </xdr:from>
        <xdr:to>
          <xdr:col>7</xdr:col>
          <xdr:colOff>533400</xdr:colOff>
          <xdr:row>49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Call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114300</xdr:colOff>
      <xdr:row>80</xdr:row>
      <xdr:rowOff>23812</xdr:rowOff>
    </xdr:from>
    <xdr:to>
      <xdr:col>4</xdr:col>
      <xdr:colOff>190500</xdr:colOff>
      <xdr:row>96</xdr:row>
      <xdr:rowOff>23812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28575</xdr:rowOff>
        </xdr:from>
        <xdr:to>
          <xdr:col>6</xdr:col>
          <xdr:colOff>628650</xdr:colOff>
          <xdr:row>22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Calcualte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43</xdr:row>
          <xdr:rowOff>0</xdr:rowOff>
        </xdr:from>
        <xdr:to>
          <xdr:col>7</xdr:col>
          <xdr:colOff>542925</xdr:colOff>
          <xdr:row>44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46</xdr:row>
          <xdr:rowOff>9525</xdr:rowOff>
        </xdr:from>
        <xdr:to>
          <xdr:col>7</xdr:col>
          <xdr:colOff>533400</xdr:colOff>
          <xdr:row>47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Call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152400</xdr:colOff>
      <xdr:row>77</xdr:row>
      <xdr:rowOff>61912</xdr:rowOff>
    </xdr:from>
    <xdr:to>
      <xdr:col>4</xdr:col>
      <xdr:colOff>180975</xdr:colOff>
      <xdr:row>93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0</xdr:row>
          <xdr:rowOff>95250</xdr:rowOff>
        </xdr:from>
        <xdr:to>
          <xdr:col>0</xdr:col>
          <xdr:colOff>1428750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Calculate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O3:Q25"/>
  <sheetViews>
    <sheetView topLeftCell="B10" workbookViewId="0">
      <selection activeCell="D36" sqref="D36"/>
    </sheetView>
  </sheetViews>
  <sheetFormatPr defaultRowHeight="13.5" x14ac:dyDescent="0.15"/>
  <cols>
    <col min="15" max="15" width="15" bestFit="1" customWidth="1"/>
    <col min="16" max="16" width="8.5" bestFit="1" customWidth="1"/>
  </cols>
  <sheetData>
    <row r="3" spans="15:16" x14ac:dyDescent="0.15">
      <c r="O3" s="62" t="s">
        <v>81</v>
      </c>
      <c r="P3" s="62"/>
    </row>
    <row r="5" spans="15:16" x14ac:dyDescent="0.15">
      <c r="O5" s="44" t="s">
        <v>79</v>
      </c>
      <c r="P5" s="19">
        <v>8.0000000000000002E-3</v>
      </c>
    </row>
    <row r="7" spans="15:16" x14ac:dyDescent="0.15">
      <c r="O7" s="47" t="s">
        <v>80</v>
      </c>
      <c r="P7" s="19">
        <f>(P5-'Solution(T)'!E39)/('Solution(T)'!B39-'Solution(T)'!E39)</f>
        <v>7.5790306134805432E-2</v>
      </c>
    </row>
    <row r="8" spans="15:16" x14ac:dyDescent="0.15">
      <c r="O8" s="47" t="s">
        <v>68</v>
      </c>
      <c r="P8" s="43">
        <f>P7*'Solution(T)'!B39+(1-P7)*'Solution(T)'!E39</f>
        <v>8.0000000000000002E-3</v>
      </c>
    </row>
    <row r="9" spans="15:16" ht="14.25" x14ac:dyDescent="0.2">
      <c r="O9" s="59" t="s">
        <v>73</v>
      </c>
      <c r="P9" s="43">
        <f>(ABS(1-P7))*'Solution(T)'!H39</f>
        <v>2.8136659689068609E-2</v>
      </c>
    </row>
    <row r="11" spans="15:16" ht="15" x14ac:dyDescent="0.25">
      <c r="O11" s="16" t="s">
        <v>28</v>
      </c>
      <c r="P11" s="19">
        <f>(1-P7)*'Solution(T)'!C46</f>
        <v>1.9951589549437515E-2</v>
      </c>
    </row>
    <row r="12" spans="15:16" ht="15" x14ac:dyDescent="0.25">
      <c r="O12" s="16" t="s">
        <v>29</v>
      </c>
      <c r="P12" s="19">
        <f>(1-P7)*'Solution(T)'!C47</f>
        <v>6.1655084800541361E-2</v>
      </c>
    </row>
    <row r="13" spans="15:16" ht="15" x14ac:dyDescent="0.25">
      <c r="O13" s="16" t="s">
        <v>30</v>
      </c>
      <c r="P13" s="19">
        <f>(1-P7)*'Solution(T)'!C48</f>
        <v>0.65303827036024453</v>
      </c>
    </row>
    <row r="14" spans="15:16" ht="15" x14ac:dyDescent="0.25">
      <c r="O14" s="16" t="s">
        <v>31</v>
      </c>
      <c r="P14" s="19">
        <f>(1-P7)*'Solution(T)'!C49</f>
        <v>0</v>
      </c>
    </row>
    <row r="15" spans="15:16" ht="15" x14ac:dyDescent="0.25">
      <c r="O15" s="16" t="s">
        <v>32</v>
      </c>
      <c r="P15" s="19">
        <f>(1-P7)*'Solution(T)'!C50</f>
        <v>0</v>
      </c>
    </row>
    <row r="16" spans="15:16" ht="15" x14ac:dyDescent="0.25">
      <c r="O16" s="16" t="s">
        <v>33</v>
      </c>
      <c r="P16" s="19">
        <f>(1-P7)*'Solution(T)'!C51</f>
        <v>0</v>
      </c>
    </row>
    <row r="17" spans="15:17" ht="15" x14ac:dyDescent="0.25">
      <c r="O17" s="16" t="s">
        <v>34</v>
      </c>
      <c r="P17" s="19">
        <f>(1-P7)*'Solution(T)'!C52</f>
        <v>0.10739983127169554</v>
      </c>
    </row>
    <row r="18" spans="15:17" ht="15" x14ac:dyDescent="0.25">
      <c r="O18" s="16" t="s">
        <v>35</v>
      </c>
      <c r="P18" s="19">
        <f>(1-P7)*'Solution(T)'!C53</f>
        <v>8.2164917883275429E-2</v>
      </c>
    </row>
    <row r="19" spans="15:17" ht="15" x14ac:dyDescent="0.25">
      <c r="O19" s="16" t="s">
        <v>36</v>
      </c>
      <c r="P19" s="19">
        <f>(1-P7)*'Solution(T)'!C54</f>
        <v>0</v>
      </c>
    </row>
    <row r="22" spans="15:17" x14ac:dyDescent="0.15">
      <c r="O22" s="62" t="s">
        <v>82</v>
      </c>
      <c r="P22" s="62"/>
    </row>
    <row r="23" spans="15:17" x14ac:dyDescent="0.15">
      <c r="O23" s="63" t="s">
        <v>85</v>
      </c>
      <c r="P23" s="63"/>
    </row>
    <row r="24" spans="15:17" x14ac:dyDescent="0.15">
      <c r="O24" s="60" t="s">
        <v>83</v>
      </c>
      <c r="P24" s="19">
        <f>RealizedReturn!B65</f>
        <v>5.7970489882842773E-3</v>
      </c>
      <c r="Q24" s="18">
        <v>5.0000000000000001E-4</v>
      </c>
    </row>
    <row r="25" spans="15:17" ht="18.75" x14ac:dyDescent="0.3">
      <c r="O25" s="61" t="s">
        <v>84</v>
      </c>
      <c r="P25" s="19">
        <f>RealizedReturn!B66</f>
        <v>5.1175252302183991E-2</v>
      </c>
      <c r="Q25">
        <v>0</v>
      </c>
    </row>
  </sheetData>
  <mergeCells count="3">
    <mergeCell ref="O3:P3"/>
    <mergeCell ref="O22:P22"/>
    <mergeCell ref="O23:P23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36"/>
  <sheetViews>
    <sheetView tabSelected="1" workbookViewId="0">
      <selection activeCell="B5" sqref="B5"/>
    </sheetView>
  </sheetViews>
  <sheetFormatPr defaultColWidth="11.25" defaultRowHeight="13.5" x14ac:dyDescent="0.15"/>
  <cols>
    <col min="1" max="1" width="22.5" customWidth="1"/>
  </cols>
  <sheetData>
    <row r="1" spans="1:11" ht="14.25" x14ac:dyDescent="0.2">
      <c r="A1" s="44"/>
      <c r="B1" s="15" t="s">
        <v>10</v>
      </c>
      <c r="C1" s="15" t="s">
        <v>11</v>
      </c>
      <c r="D1" s="15" t="s">
        <v>12</v>
      </c>
      <c r="E1" s="15" t="s">
        <v>13</v>
      </c>
      <c r="F1" s="15" t="s">
        <v>14</v>
      </c>
      <c r="G1" s="15" t="s">
        <v>15</v>
      </c>
      <c r="H1" s="15" t="s">
        <v>16</v>
      </c>
      <c r="I1" s="15" t="s">
        <v>17</v>
      </c>
      <c r="J1" s="15" t="s">
        <v>18</v>
      </c>
      <c r="K1" s="6" t="s">
        <v>102</v>
      </c>
    </row>
    <row r="2" spans="1:11" x14ac:dyDescent="0.15">
      <c r="A2" s="44" t="s">
        <v>99</v>
      </c>
      <c r="B2" s="44">
        <f>MonthlyData!C64</f>
        <v>669.95803278688516</v>
      </c>
      <c r="C2" s="44">
        <f>MonthlyData!D64</f>
        <v>85455.464918032769</v>
      </c>
      <c r="D2" s="44">
        <f>MonthlyData!E64</f>
        <v>28263.875409836059</v>
      </c>
      <c r="E2" s="44">
        <f>MonthlyData!F64</f>
        <v>27202.33983606557</v>
      </c>
      <c r="F2" s="44">
        <f>MonthlyData!G64</f>
        <v>57134.273606557377</v>
      </c>
      <c r="G2" s="44">
        <f>MonthlyData!H64</f>
        <v>6150.0172131147556</v>
      </c>
      <c r="H2" s="44">
        <f>MonthlyData!I64</f>
        <v>167221.21967213115</v>
      </c>
      <c r="I2" s="44">
        <f>MonthlyData!J64</f>
        <v>1791.355081967213</v>
      </c>
      <c r="J2" s="44">
        <f>MonthlyData!K64</f>
        <v>24497.575409836067</v>
      </c>
    </row>
    <row r="3" spans="1:11" x14ac:dyDescent="0.15">
      <c r="A3" s="44" t="s">
        <v>98</v>
      </c>
      <c r="B3" s="44">
        <f>StockPrice!C64</f>
        <v>15.478688524590163</v>
      </c>
      <c r="C3" s="44">
        <f>StockPrice!D64</f>
        <v>113.05409836065577</v>
      </c>
      <c r="D3" s="44">
        <f>StockPrice!E64</f>
        <v>63.40000000000002</v>
      </c>
      <c r="E3" s="44">
        <f>StockPrice!F64</f>
        <v>44.041803278688526</v>
      </c>
      <c r="F3" s="44">
        <f>StockPrice!G64</f>
        <v>117.16721311475406</v>
      </c>
      <c r="G3" s="44">
        <f>StockPrice!H64</f>
        <v>42.051934426229508</v>
      </c>
      <c r="H3" s="44">
        <f>StockPrice!I64</f>
        <v>14.864540983606563</v>
      </c>
      <c r="I3" s="44">
        <f>StockPrice!J64</f>
        <v>25.039163934426231</v>
      </c>
      <c r="J3" s="44">
        <f>StockPrice!K64</f>
        <v>78.138524590163939</v>
      </c>
    </row>
    <row r="4" spans="1:11" x14ac:dyDescent="0.15">
      <c r="A4" s="44" t="s">
        <v>100</v>
      </c>
      <c r="B4" s="44">
        <f>B2/B3</f>
        <v>43.282609616606649</v>
      </c>
      <c r="C4" s="44">
        <f t="shared" ref="C4:J4" si="0">C2/C3</f>
        <v>755.88117686295516</v>
      </c>
      <c r="D4" s="44">
        <f t="shared" si="0"/>
        <v>445.8024512592437</v>
      </c>
      <c r="E4" s="44">
        <f t="shared" si="0"/>
        <v>617.64818447451182</v>
      </c>
      <c r="F4" s="44">
        <f t="shared" si="0"/>
        <v>487.63021742780404</v>
      </c>
      <c r="G4" s="44">
        <f t="shared" si="0"/>
        <v>146.24814047267083</v>
      </c>
      <c r="H4" s="44">
        <f t="shared" si="0"/>
        <v>11249.672617307991</v>
      </c>
      <c r="I4" s="44">
        <f t="shared" si="0"/>
        <v>71.542128429627283</v>
      </c>
      <c r="J4" s="44">
        <f t="shared" si="0"/>
        <v>313.51469122722364</v>
      </c>
      <c r="K4">
        <f>SUM(B4:J4)</f>
        <v>14131.222217078635</v>
      </c>
    </row>
    <row r="5" spans="1:11" x14ac:dyDescent="0.15">
      <c r="A5" s="70" t="s">
        <v>101</v>
      </c>
      <c r="B5" s="69">
        <f>B4/K4</f>
        <v>3.0629063043320051E-3</v>
      </c>
      <c r="C5" s="69">
        <f>C4/K4</f>
        <v>5.3490148640463413E-2</v>
      </c>
      <c r="D5" s="69">
        <f>D4/K4</f>
        <v>3.154733853951134E-2</v>
      </c>
      <c r="E5" s="69">
        <f>E4/K4</f>
        <v>4.3708051220653653E-2</v>
      </c>
      <c r="F5" s="69">
        <f>F4/K4</f>
        <v>3.4507292429275263E-2</v>
      </c>
      <c r="G5" s="69">
        <f>G4/K4</f>
        <v>1.0349291676690148E-2</v>
      </c>
      <c r="H5" s="69">
        <f>H4/K4</f>
        <v>0.79608631472173186</v>
      </c>
      <c r="I5" s="69">
        <f>I4/K4</f>
        <v>5.0626992719117591E-3</v>
      </c>
      <c r="J5" s="69">
        <f>J4/K4</f>
        <v>2.2185957195430539E-2</v>
      </c>
    </row>
    <row r="7" spans="1:11" ht="15" x14ac:dyDescent="0.25">
      <c r="A7" t="s">
        <v>39</v>
      </c>
      <c r="B7" t="s">
        <v>40</v>
      </c>
    </row>
    <row r="8" spans="1:11" ht="14.25" x14ac:dyDescent="0.2">
      <c r="B8" s="15" t="s">
        <v>10</v>
      </c>
      <c r="C8" s="15" t="s">
        <v>11</v>
      </c>
      <c r="D8" s="15" t="s">
        <v>12</v>
      </c>
      <c r="E8" s="15" t="s">
        <v>13</v>
      </c>
      <c r="F8" s="15" t="s">
        <v>14</v>
      </c>
      <c r="G8" s="15" t="s">
        <v>15</v>
      </c>
      <c r="H8" s="15" t="s">
        <v>16</v>
      </c>
      <c r="I8" s="15" t="s">
        <v>17</v>
      </c>
      <c r="J8" s="15" t="s">
        <v>18</v>
      </c>
    </row>
    <row r="9" spans="1:11" x14ac:dyDescent="0.15">
      <c r="B9" s="19">
        <f>RealizedReturn!C65</f>
        <v>9.202365177589716E-3</v>
      </c>
      <c r="C9" s="19">
        <f>RealizedReturn!D65</f>
        <v>1.2326413674803529E-2</v>
      </c>
      <c r="D9" s="19">
        <f>RealizedReturn!E65</f>
        <v>7.9744754702683641E-3</v>
      </c>
      <c r="E9" s="19">
        <f>RealizedReturn!F65</f>
        <v>3.4793771223500694E-3</v>
      </c>
      <c r="F9" s="19">
        <f>RealizedReturn!G65</f>
        <v>7.2415917786523426E-3</v>
      </c>
      <c r="G9" s="19">
        <f>RealizedReturn!H65</f>
        <v>7.1827806479290712E-3</v>
      </c>
      <c r="H9" s="19">
        <f>RealizedReturn!I65</f>
        <v>1.0922902764380869E-2</v>
      </c>
      <c r="I9" s="19">
        <f>RealizedReturn!J65</f>
        <v>7.7619668834678071E-3</v>
      </c>
      <c r="J9" s="19">
        <f>RealizedReturn!K65</f>
        <v>2.7032334624970144E-3</v>
      </c>
    </row>
    <row r="11" spans="1:11" ht="14.25" x14ac:dyDescent="0.2">
      <c r="A11" t="s">
        <v>41</v>
      </c>
      <c r="B11" t="s">
        <v>42</v>
      </c>
    </row>
    <row r="12" spans="1:11" ht="14.25" x14ac:dyDescent="0.2">
      <c r="B12" s="15" t="s">
        <v>10</v>
      </c>
      <c r="C12" s="15" t="s">
        <v>11</v>
      </c>
      <c r="D12" s="15" t="s">
        <v>12</v>
      </c>
      <c r="E12" s="15" t="s">
        <v>13</v>
      </c>
      <c r="F12" s="15" t="s">
        <v>14</v>
      </c>
      <c r="G12" s="15" t="s">
        <v>15</v>
      </c>
      <c r="H12" s="15" t="s">
        <v>16</v>
      </c>
      <c r="I12" s="15" t="s">
        <v>17</v>
      </c>
      <c r="J12" s="15" t="s">
        <v>18</v>
      </c>
    </row>
    <row r="13" spans="1:11" ht="15" x14ac:dyDescent="0.25">
      <c r="A13" s="16" t="s">
        <v>10</v>
      </c>
      <c r="B13" s="42">
        <f>RealizedReturn!C81</f>
        <v>5.7822820218885419E-3</v>
      </c>
      <c r="C13" s="42">
        <f>RealizedReturn!D81</f>
        <v>3.1123478307913768E-3</v>
      </c>
      <c r="D13" s="42">
        <f>RealizedReturn!E81</f>
        <v>5.1933519599690924E-4</v>
      </c>
      <c r="E13" s="42">
        <f>RealizedReturn!F81</f>
        <v>2.8273142663229997E-3</v>
      </c>
      <c r="F13" s="42">
        <f>RealizedReturn!G81</f>
        <v>2.0798459186755287E-3</v>
      </c>
      <c r="G13" s="42">
        <f>RealizedReturn!H81</f>
        <v>3.3763120827215122E-3</v>
      </c>
      <c r="H13" s="42">
        <f>RealizedReturn!I81</f>
        <v>1.6251700333755332E-3</v>
      </c>
      <c r="I13" s="42">
        <f>RealizedReturn!J81</f>
        <v>1.1885758983456458E-3</v>
      </c>
      <c r="J13" s="42">
        <f>RealizedReturn!K81</f>
        <v>2.1881168205124747E-3</v>
      </c>
    </row>
    <row r="14" spans="1:11" ht="15" x14ac:dyDescent="0.25">
      <c r="A14" s="16" t="s">
        <v>29</v>
      </c>
      <c r="B14" s="42">
        <f>RealizedReturn!C82</f>
        <v>3.1123478307913768E-3</v>
      </c>
      <c r="C14" s="42">
        <f>RealizedReturn!D82</f>
        <v>5.3672624582309413E-3</v>
      </c>
      <c r="D14" s="42">
        <f>RealizedReturn!E82</f>
        <v>8.1853184343508962E-4</v>
      </c>
      <c r="E14" s="42">
        <f>RealizedReturn!F82</f>
        <v>3.5092863208751068E-3</v>
      </c>
      <c r="F14" s="42">
        <f>RealizedReturn!G82</f>
        <v>2.7524729514720489E-3</v>
      </c>
      <c r="G14" s="42">
        <f>RealizedReturn!H82</f>
        <v>5.0041733159919425E-3</v>
      </c>
      <c r="H14" s="42">
        <f>RealizedReturn!I82</f>
        <v>1.7532684499023243E-3</v>
      </c>
      <c r="I14" s="42">
        <f>RealizedReturn!J82</f>
        <v>1.6127928654380724E-3</v>
      </c>
      <c r="J14" s="42">
        <f>RealizedReturn!K82</f>
        <v>3.0319632332703626E-3</v>
      </c>
    </row>
    <row r="15" spans="1:11" ht="15" x14ac:dyDescent="0.25">
      <c r="A15" s="16" t="s">
        <v>30</v>
      </c>
      <c r="B15" s="42">
        <f>RealizedReturn!C83</f>
        <v>5.1933519599690924E-4</v>
      </c>
      <c r="C15" s="42">
        <f>RealizedReturn!D83</f>
        <v>8.1853184343508962E-4</v>
      </c>
      <c r="D15" s="42">
        <f>RealizedReturn!E83</f>
        <v>8.9615787966841501E-4</v>
      </c>
      <c r="E15" s="42">
        <f>RealizedReturn!F83</f>
        <v>6.9069617098431815E-4</v>
      </c>
      <c r="F15" s="42">
        <f>RealizedReturn!G83</f>
        <v>5.7600483440853388E-4</v>
      </c>
      <c r="G15" s="42">
        <f>RealizedReturn!H83</f>
        <v>9.2154874493060169E-4</v>
      </c>
      <c r="H15" s="42">
        <f>RealizedReturn!I83</f>
        <v>9.3971182720479075E-4</v>
      </c>
      <c r="I15" s="42">
        <f>RealizedReturn!J83</f>
        <v>5.1108601334076892E-4</v>
      </c>
      <c r="J15" s="42">
        <f>RealizedReturn!K83</f>
        <v>4.5085324808061294E-4</v>
      </c>
    </row>
    <row r="16" spans="1:11" ht="15" x14ac:dyDescent="0.25">
      <c r="A16" s="16" t="s">
        <v>31</v>
      </c>
      <c r="B16" s="42">
        <f>RealizedReturn!C84</f>
        <v>2.8273142663229997E-3</v>
      </c>
      <c r="C16" s="42">
        <f>RealizedReturn!D84</f>
        <v>3.5092863208751068E-3</v>
      </c>
      <c r="D16" s="42">
        <f>RealizedReturn!E84</f>
        <v>6.9069617098431815E-4</v>
      </c>
      <c r="E16" s="42">
        <f>RealizedReturn!F84</f>
        <v>4.9531954370296682E-3</v>
      </c>
      <c r="F16" s="42">
        <f>RealizedReturn!G84</f>
        <v>2.0698020246465738E-3</v>
      </c>
      <c r="G16" s="42">
        <f>RealizedReturn!H84</f>
        <v>3.9955124933083357E-3</v>
      </c>
      <c r="H16" s="42">
        <f>RealizedReturn!I84</f>
        <v>1.6954838621552506E-3</v>
      </c>
      <c r="I16" s="42">
        <f>RealizedReturn!J84</f>
        <v>8.8061732567353826E-4</v>
      </c>
      <c r="J16" s="42">
        <f>RealizedReturn!K84</f>
        <v>2.5566624840149669E-3</v>
      </c>
    </row>
    <row r="17" spans="1:10" ht="15" x14ac:dyDescent="0.25">
      <c r="A17" s="16" t="s">
        <v>32</v>
      </c>
      <c r="B17" s="42">
        <f>RealizedReturn!C85</f>
        <v>2.0798459186755287E-3</v>
      </c>
      <c r="C17" s="42">
        <f>RealizedReturn!D85</f>
        <v>2.7524729514720489E-3</v>
      </c>
      <c r="D17" s="42">
        <f>RealizedReturn!E85</f>
        <v>5.7600483440853388E-4</v>
      </c>
      <c r="E17" s="42">
        <f>RealizedReturn!F85</f>
        <v>2.0698020246465738E-3</v>
      </c>
      <c r="F17" s="42">
        <f>RealizedReturn!G85</f>
        <v>2.5523287718271837E-3</v>
      </c>
      <c r="G17" s="42">
        <f>RealizedReturn!H85</f>
        <v>3.1061952129375417E-3</v>
      </c>
      <c r="H17" s="42">
        <f>RealizedReturn!I85</f>
        <v>1.0545570435307005E-3</v>
      </c>
      <c r="I17" s="42">
        <f>RealizedReturn!J85</f>
        <v>1.0702296627389085E-3</v>
      </c>
      <c r="J17" s="42">
        <f>RealizedReturn!K85</f>
        <v>2.0043412828511611E-3</v>
      </c>
    </row>
    <row r="18" spans="1:10" ht="15" x14ac:dyDescent="0.25">
      <c r="A18" s="16" t="s">
        <v>33</v>
      </c>
      <c r="B18" s="42">
        <f>RealizedReturn!C86</f>
        <v>3.3763120827215122E-3</v>
      </c>
      <c r="C18" s="42">
        <f>RealizedReturn!D86</f>
        <v>5.0041733159919425E-3</v>
      </c>
      <c r="D18" s="42">
        <f>RealizedReturn!E86</f>
        <v>9.2154874493060169E-4</v>
      </c>
      <c r="E18" s="42">
        <f>RealizedReturn!F86</f>
        <v>3.9955124933083357E-3</v>
      </c>
      <c r="F18" s="42">
        <f>RealizedReturn!G86</f>
        <v>3.1061952129375417E-3</v>
      </c>
      <c r="G18" s="42">
        <f>RealizedReturn!H86</f>
        <v>6.3459198902493371E-3</v>
      </c>
      <c r="H18" s="42">
        <f>RealizedReturn!I86</f>
        <v>2.262421147427288E-3</v>
      </c>
      <c r="I18" s="42">
        <f>RealizedReturn!J86</f>
        <v>1.8719142787774949E-3</v>
      </c>
      <c r="J18" s="42">
        <f>RealizedReturn!K86</f>
        <v>3.3753588143884614E-3</v>
      </c>
    </row>
    <row r="19" spans="1:10" ht="15" x14ac:dyDescent="0.25">
      <c r="A19" s="16" t="s">
        <v>34</v>
      </c>
      <c r="B19" s="42">
        <f>RealizedReturn!C87</f>
        <v>1.6251700333755332E-3</v>
      </c>
      <c r="C19" s="42">
        <f>RealizedReturn!D87</f>
        <v>1.7532684499023243E-3</v>
      </c>
      <c r="D19" s="42">
        <f>RealizedReturn!E87</f>
        <v>9.3971182720479075E-4</v>
      </c>
      <c r="E19" s="42">
        <f>RealizedReturn!F87</f>
        <v>1.6954838621552506E-3</v>
      </c>
      <c r="F19" s="42">
        <f>RealizedReturn!G87</f>
        <v>1.0545570435307005E-3</v>
      </c>
      <c r="G19" s="42">
        <f>RealizedReturn!H87</f>
        <v>2.262421147427288E-3</v>
      </c>
      <c r="H19" s="42">
        <f>RealizedReturn!I87</f>
        <v>2.5479654460959463E-3</v>
      </c>
      <c r="I19" s="42">
        <f>RealizedReturn!J87</f>
        <v>8.8080683446292328E-4</v>
      </c>
      <c r="J19" s="42">
        <f>RealizedReturn!K87</f>
        <v>8.739447231842759E-4</v>
      </c>
    </row>
    <row r="20" spans="1:10" ht="15" x14ac:dyDescent="0.25">
      <c r="A20" s="16" t="s">
        <v>35</v>
      </c>
      <c r="B20" s="42">
        <f>RealizedReturn!C88</f>
        <v>1.1885758983456458E-3</v>
      </c>
      <c r="C20" s="42">
        <f>RealizedReturn!D88</f>
        <v>1.6127928654380724E-3</v>
      </c>
      <c r="D20" s="42">
        <f>RealizedReturn!E88</f>
        <v>5.1108601334076892E-4</v>
      </c>
      <c r="E20" s="42">
        <f>RealizedReturn!F88</f>
        <v>8.8061732567353826E-4</v>
      </c>
      <c r="F20" s="42">
        <f>RealizedReturn!G88</f>
        <v>1.0702296627389085E-3</v>
      </c>
      <c r="G20" s="42">
        <f>RealizedReturn!H88</f>
        <v>1.8719142787774949E-3</v>
      </c>
      <c r="H20" s="42">
        <f>RealizedReturn!I88</f>
        <v>8.8080683446292328E-4</v>
      </c>
      <c r="I20" s="42">
        <f>RealizedReturn!J88</f>
        <v>2.6173473416385221E-3</v>
      </c>
      <c r="J20" s="42">
        <f>RealizedReturn!K88</f>
        <v>1.2820650478130341E-3</v>
      </c>
    </row>
    <row r="21" spans="1:10" ht="15" x14ac:dyDescent="0.25">
      <c r="A21" s="16" t="s">
        <v>36</v>
      </c>
      <c r="B21" s="42">
        <f>RealizedReturn!C89</f>
        <v>2.1881168205124747E-3</v>
      </c>
      <c r="C21" s="42">
        <f>RealizedReturn!D89</f>
        <v>3.0319632332703626E-3</v>
      </c>
      <c r="D21" s="42">
        <f>RealizedReturn!E89</f>
        <v>4.5085324808061294E-4</v>
      </c>
      <c r="E21" s="42">
        <f>RealizedReturn!F89</f>
        <v>2.5566624840149669E-3</v>
      </c>
      <c r="F21" s="42">
        <f>RealizedReturn!G89</f>
        <v>2.0043412828511611E-3</v>
      </c>
      <c r="G21" s="42">
        <f>RealizedReturn!H89</f>
        <v>3.3753588143884614E-3</v>
      </c>
      <c r="H21" s="42">
        <f>RealizedReturn!I89</f>
        <v>8.739447231842759E-4</v>
      </c>
      <c r="I21" s="42">
        <f>RealizedReturn!J89</f>
        <v>1.2820650478130341E-3</v>
      </c>
      <c r="J21" s="42">
        <f>RealizedReturn!K89</f>
        <v>4.1921902698451368E-3</v>
      </c>
    </row>
    <row r="23" spans="1:10" ht="15" x14ac:dyDescent="0.25">
      <c r="A23" s="20" t="s">
        <v>47</v>
      </c>
    </row>
    <row r="24" spans="1:10" x14ac:dyDescent="0.15">
      <c r="A24" s="18"/>
      <c r="B24" s="43">
        <f>B5</f>
        <v>3.0629063043320051E-3</v>
      </c>
      <c r="C24" s="43">
        <f t="shared" ref="C24:J24" si="1">C5</f>
        <v>5.3490148640463413E-2</v>
      </c>
      <c r="D24" s="43">
        <f t="shared" si="1"/>
        <v>3.154733853951134E-2</v>
      </c>
      <c r="E24" s="43">
        <f t="shared" si="1"/>
        <v>4.3708051220653653E-2</v>
      </c>
      <c r="F24" s="43">
        <f t="shared" si="1"/>
        <v>3.4507292429275263E-2</v>
      </c>
      <c r="G24" s="43">
        <f t="shared" si="1"/>
        <v>1.0349291676690148E-2</v>
      </c>
      <c r="H24" s="43">
        <f t="shared" si="1"/>
        <v>0.79608631472173186</v>
      </c>
      <c r="I24" s="43">
        <f t="shared" si="1"/>
        <v>5.0626992719117591E-3</v>
      </c>
      <c r="J24" s="43">
        <f t="shared" si="1"/>
        <v>2.2185957195430539E-2</v>
      </c>
    </row>
    <row r="25" spans="1:10" x14ac:dyDescent="0.15">
      <c r="A25" s="19">
        <f>B5</f>
        <v>3.0629063043320051E-3</v>
      </c>
      <c r="B25" s="42">
        <f>A25*B24*B13</f>
        <v>5.4245871817096272E-8</v>
      </c>
      <c r="C25" s="42">
        <f>A25*C24*C13</f>
        <v>5.0991248254928069E-7</v>
      </c>
      <c r="D25" s="42">
        <f>A25*D24*D13</f>
        <v>5.0181564178742685E-8</v>
      </c>
      <c r="E25" s="42">
        <f>A25*E24*E13</f>
        <v>3.7850292473141557E-7</v>
      </c>
      <c r="F25" s="42">
        <f>A25*F24*F13</f>
        <v>2.1982433007993673E-7</v>
      </c>
      <c r="G25" s="42">
        <f>A25*G24*G13</f>
        <v>1.0702541527947835E-7</v>
      </c>
      <c r="H25" s="42">
        <f>A25*H24*H13</f>
        <v>3.9627135110551314E-6</v>
      </c>
      <c r="I25" s="42">
        <f>A25*I24*I13</f>
        <v>1.8430739548083191E-8</v>
      </c>
      <c r="J25" s="42">
        <f>A25*J24*J13</f>
        <v>1.4869021422106284E-7</v>
      </c>
    </row>
    <row r="26" spans="1:10" x14ac:dyDescent="0.15">
      <c r="A26" s="19">
        <f>C5</f>
        <v>5.3490148640463413E-2</v>
      </c>
      <c r="B26" s="42">
        <f>A26*B24*B14</f>
        <v>5.0991248254928069E-7</v>
      </c>
      <c r="C26" s="42">
        <f>A26*C24*C14</f>
        <v>1.5356789884914746E-5</v>
      </c>
      <c r="D26" s="42">
        <f>A26*D24*D14</f>
        <v>1.3812494258634512E-6</v>
      </c>
      <c r="E26" s="42">
        <f>A26*E24*E14</f>
        <v>8.2045365033661198E-6</v>
      </c>
      <c r="F26" s="42">
        <f>A26*F24*F14</f>
        <v>5.080515127684867E-6</v>
      </c>
      <c r="G26" s="42">
        <f>A26*G24*G14</f>
        <v>2.7702360363081887E-6</v>
      </c>
      <c r="H26" s="42">
        <f>A26*H24*H14</f>
        <v>7.4659036451718967E-5</v>
      </c>
      <c r="I26" s="42">
        <f>A26*I24*I14</f>
        <v>4.3675162451888445E-7</v>
      </c>
      <c r="J26" s="42">
        <f>A26*J24*J14</f>
        <v>3.5981221768967723E-6</v>
      </c>
    </row>
    <row r="27" spans="1:10" x14ac:dyDescent="0.15">
      <c r="A27" s="19">
        <f>D5</f>
        <v>3.154733853951134E-2</v>
      </c>
      <c r="B27" s="42">
        <f>A27*B24*B15</f>
        <v>5.0181564178742685E-8</v>
      </c>
      <c r="C27" s="42">
        <f>A27*C24*C15</f>
        <v>1.3812494258634512E-6</v>
      </c>
      <c r="D27" s="42">
        <f>A27*D24*D15</f>
        <v>8.918873010619148E-7</v>
      </c>
      <c r="E27" s="42">
        <f>A27*E24*E15</f>
        <v>9.5238208640156477E-7</v>
      </c>
      <c r="F27" s="42">
        <f>A27*F24*F15</f>
        <v>6.2704648693771963E-7</v>
      </c>
      <c r="G27" s="42">
        <f>A27*G24*G15</f>
        <v>3.0087885328697593E-7</v>
      </c>
      <c r="H27" s="42">
        <f>A27*H24*H15</f>
        <v>2.3600302920428329E-5</v>
      </c>
      <c r="I27" s="42">
        <f>A27*I24*I15</f>
        <v>8.162794308764328E-8</v>
      </c>
      <c r="J27" s="42">
        <f>A27*J24*J15</f>
        <v>3.1555575118469574E-7</v>
      </c>
    </row>
    <row r="28" spans="1:10" x14ac:dyDescent="0.15">
      <c r="A28" s="19">
        <f>E5</f>
        <v>4.3708051220653653E-2</v>
      </c>
      <c r="B28" s="42">
        <f>A28*B24*B16</f>
        <v>3.7850292473141557E-7</v>
      </c>
      <c r="C28" s="42">
        <f>A28*C24*C16</f>
        <v>8.2045365033661198E-6</v>
      </c>
      <c r="D28" s="42">
        <f>A28*D24*D16</f>
        <v>9.5238208640156477E-7</v>
      </c>
      <c r="E28" s="42">
        <f>A28*E24*E16</f>
        <v>9.4625535633639117E-6</v>
      </c>
      <c r="F28" s="42">
        <f>A28*F24*F16</f>
        <v>3.1217716696837347E-6</v>
      </c>
      <c r="G28" s="42">
        <f>A28*G24*G16</f>
        <v>1.8073595709560471E-6</v>
      </c>
      <c r="H28" s="42">
        <f>A28*H24*H16</f>
        <v>5.8995007675009073E-5</v>
      </c>
      <c r="I28" s="42">
        <f>A28*I24*I16</f>
        <v>1.9486363506946109E-7</v>
      </c>
      <c r="J28" s="42">
        <f>A28*J24*J16</f>
        <v>2.4792082751183995E-6</v>
      </c>
    </row>
    <row r="29" spans="1:10" x14ac:dyDescent="0.15">
      <c r="A29" s="19">
        <f>F5</f>
        <v>3.4507292429275263E-2</v>
      </c>
      <c r="B29" s="42">
        <f>A29*B24*B17</f>
        <v>2.1982433007993673E-7</v>
      </c>
      <c r="C29" s="42">
        <f>A29*C24*C17</f>
        <v>5.080515127684867E-6</v>
      </c>
      <c r="D29" s="42">
        <f>A29*D24*D17</f>
        <v>6.2704648693771963E-7</v>
      </c>
      <c r="E29" s="42">
        <f>A29*E24*E17</f>
        <v>3.1217716696837347E-6</v>
      </c>
      <c r="F29" s="42">
        <f>A29*F24*F17</f>
        <v>3.0391937311157846E-6</v>
      </c>
      <c r="G29" s="42">
        <f>A29*G24*G17</f>
        <v>1.1093031782307489E-6</v>
      </c>
      <c r="H29" s="42">
        <f>A29*H24*H17</f>
        <v>2.8969507979242237E-5</v>
      </c>
      <c r="I29" s="42">
        <f>A29*I24*I17</f>
        <v>1.8696916944600326E-7</v>
      </c>
      <c r="J29" s="42">
        <f>A29*J24*J17</f>
        <v>1.5344782131913599E-6</v>
      </c>
    </row>
    <row r="30" spans="1:10" x14ac:dyDescent="0.15">
      <c r="A30" s="19">
        <f>G5</f>
        <v>1.0349291676690148E-2</v>
      </c>
      <c r="B30" s="42">
        <f>A30*B24*B18</f>
        <v>1.0702541527947835E-7</v>
      </c>
      <c r="C30" s="42">
        <f>A30*C24*C18</f>
        <v>2.7702360363081887E-6</v>
      </c>
      <c r="D30" s="42">
        <f>A30*D24*D18</f>
        <v>3.0087885328697593E-7</v>
      </c>
      <c r="E30" s="42">
        <f>A30*E24*E18</f>
        <v>1.8073595709560471E-6</v>
      </c>
      <c r="F30" s="42">
        <f>A30*F24*F18</f>
        <v>1.1093031782307489E-6</v>
      </c>
      <c r="G30" s="42">
        <f>A30*G24*G18</f>
        <v>6.7969776089342087E-7</v>
      </c>
      <c r="H30" s="42">
        <f>A30*H24*H18</f>
        <v>1.863992826707303E-5</v>
      </c>
      <c r="I30" s="42">
        <f>A30*I24*I18</f>
        <v>9.8079606495327731E-8</v>
      </c>
      <c r="J30" s="42">
        <f>A30*J24*J18</f>
        <v>7.7501256672165698E-7</v>
      </c>
    </row>
    <row r="31" spans="1:10" x14ac:dyDescent="0.15">
      <c r="A31" s="19">
        <f>H5</f>
        <v>0.79608631472173186</v>
      </c>
      <c r="B31" s="42">
        <f>A31*B24*B19</f>
        <v>3.9627135110551314E-6</v>
      </c>
      <c r="C31" s="42">
        <f>A31*C24*C19</f>
        <v>7.4659036451718967E-5</v>
      </c>
      <c r="D31" s="42">
        <f>A31*D24*D19</f>
        <v>2.3600302920428329E-5</v>
      </c>
      <c r="E31" s="42">
        <f>A31*E24*E19</f>
        <v>5.8995007675009073E-5</v>
      </c>
      <c r="F31" s="42">
        <f>A31*F24*F19</f>
        <v>2.8969507979242237E-5</v>
      </c>
      <c r="G31" s="42">
        <f>A31*G24*G19</f>
        <v>1.863992826707303E-5</v>
      </c>
      <c r="H31" s="42">
        <f>A31*H24*H19</f>
        <v>1.6147818167465725E-3</v>
      </c>
      <c r="I31" s="42">
        <f>A31*I24*I19</f>
        <v>3.5499559549425003E-6</v>
      </c>
      <c r="J31" s="42">
        <f>A31*J24*J19</f>
        <v>1.5435556556965079E-5</v>
      </c>
    </row>
    <row r="32" spans="1:10" x14ac:dyDescent="0.15">
      <c r="A32" s="19">
        <f>I5</f>
        <v>5.0626992719117591E-3</v>
      </c>
      <c r="B32" s="42">
        <f>A32*B24*B20</f>
        <v>1.8430739548083191E-8</v>
      </c>
      <c r="C32" s="42">
        <f>A32*C24*C20</f>
        <v>4.3675162451888445E-7</v>
      </c>
      <c r="D32" s="42">
        <f>A32*D24*D20</f>
        <v>8.162794308764328E-8</v>
      </c>
      <c r="E32" s="42">
        <f>A32*E24*E20</f>
        <v>1.9486363506946109E-7</v>
      </c>
      <c r="F32" s="42">
        <f>A32*F24*F20</f>
        <v>1.8696916944600326E-7</v>
      </c>
      <c r="G32" s="42">
        <f>A32*G24*G20</f>
        <v>9.8079606495327731E-8</v>
      </c>
      <c r="H32" s="42">
        <f>A32*H24*H20</f>
        <v>3.5499559549425003E-6</v>
      </c>
      <c r="I32" s="42">
        <f>A32*I24*I20</f>
        <v>6.7085030580034541E-8</v>
      </c>
      <c r="J32" s="42">
        <f>A32*J24*J20</f>
        <v>1.4400260943815038E-7</v>
      </c>
    </row>
    <row r="33" spans="1:10" x14ac:dyDescent="0.15">
      <c r="A33" s="19">
        <f>J5</f>
        <v>2.2185957195430539E-2</v>
      </c>
      <c r="B33" s="42">
        <f>A33*B24*B21</f>
        <v>1.4869021422106284E-7</v>
      </c>
      <c r="C33" s="42">
        <f>A33*C24*C21</f>
        <v>3.5981221768967723E-6</v>
      </c>
      <c r="D33" s="42">
        <f>A33*D24*D21</f>
        <v>3.1555575118469574E-7</v>
      </c>
      <c r="E33" s="42">
        <f>A33*E24*E21</f>
        <v>2.4792082751183995E-6</v>
      </c>
      <c r="F33" s="42">
        <f>A33*F24*F21</f>
        <v>1.5344782131913599E-6</v>
      </c>
      <c r="G33" s="42">
        <f>A33*G24*G21</f>
        <v>7.7501256672165698E-7</v>
      </c>
      <c r="H33" s="42">
        <f>A33*H24*H21</f>
        <v>1.5435556556965079E-5</v>
      </c>
      <c r="I33" s="42">
        <f>A33*I24*I21</f>
        <v>1.4400260943815038E-7</v>
      </c>
      <c r="J33" s="42">
        <f>A33*J24*J21</f>
        <v>2.0634660464666305E-6</v>
      </c>
    </row>
    <row r="36" spans="1:10" ht="14.25" x14ac:dyDescent="0.2">
      <c r="A36" s="47" t="s">
        <v>71</v>
      </c>
      <c r="B36" s="19">
        <f>SUMPRODUCT(B5:J5,B9:J9)</f>
        <v>1.0210246103673548E-2</v>
      </c>
      <c r="D36" s="45" t="s">
        <v>73</v>
      </c>
      <c r="E36" s="43">
        <f>SUM(B25:J33)</f>
        <v>2.1752857909306074E-3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Question3_Button2_Click">
                <anchor moveWithCells="1">
                  <from>
                    <xdr:col>1</xdr:col>
                    <xdr:colOff>38100</xdr:colOff>
                    <xdr:row>21</xdr:row>
                    <xdr:rowOff>104775</xdr:rowOff>
                  </from>
                  <to>
                    <xdr:col>2</xdr:col>
                    <xdr:colOff>247650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79"/>
  <sheetViews>
    <sheetView topLeftCell="A19" workbookViewId="0">
      <selection activeCell="D39" sqref="D39:H39"/>
    </sheetView>
  </sheetViews>
  <sheetFormatPr defaultRowHeight="13.5" x14ac:dyDescent="0.15"/>
  <cols>
    <col min="1" max="1" width="29.875" bestFit="1" customWidth="1"/>
    <col min="2" max="2" width="11.125" customWidth="1"/>
    <col min="3" max="3" width="8.5" bestFit="1" customWidth="1"/>
    <col min="4" max="4" width="9.5" bestFit="1" customWidth="1"/>
    <col min="5" max="7" width="9.125" bestFit="1" customWidth="1"/>
    <col min="8" max="8" width="9.5" bestFit="1" customWidth="1"/>
    <col min="9" max="10" width="9.125" bestFit="1" customWidth="1"/>
  </cols>
  <sheetData>
    <row r="1" spans="1:10" ht="14.25" x14ac:dyDescent="0.2">
      <c r="A1" s="17" t="s">
        <v>37</v>
      </c>
      <c r="B1" s="17" t="s">
        <v>38</v>
      </c>
      <c r="C1" s="17"/>
      <c r="D1" s="17"/>
    </row>
    <row r="2" spans="1:10" ht="15" x14ac:dyDescent="0.25">
      <c r="A2" t="s">
        <v>39</v>
      </c>
      <c r="B2" t="s">
        <v>40</v>
      </c>
    </row>
    <row r="3" spans="1:10" ht="14.25" x14ac:dyDescent="0.2">
      <c r="B3" s="15" t="s">
        <v>10</v>
      </c>
      <c r="C3" s="15" t="s">
        <v>11</v>
      </c>
      <c r="D3" s="15" t="s">
        <v>12</v>
      </c>
      <c r="E3" s="15" t="s">
        <v>13</v>
      </c>
      <c r="F3" s="15" t="s">
        <v>14</v>
      </c>
      <c r="G3" s="15" t="s">
        <v>15</v>
      </c>
      <c r="H3" s="15" t="s">
        <v>16</v>
      </c>
      <c r="I3" s="15" t="s">
        <v>17</v>
      </c>
      <c r="J3" s="15" t="s">
        <v>18</v>
      </c>
    </row>
    <row r="4" spans="1:10" x14ac:dyDescent="0.15">
      <c r="B4" s="19">
        <f>RealizedReturn!C65</f>
        <v>9.202365177589716E-3</v>
      </c>
      <c r="C4" s="19">
        <f>RealizedReturn!D65</f>
        <v>1.2326413674803529E-2</v>
      </c>
      <c r="D4" s="19">
        <f>RealizedReturn!E65</f>
        <v>7.9744754702683641E-3</v>
      </c>
      <c r="E4" s="19">
        <f>RealizedReturn!F65</f>
        <v>3.4793771223500694E-3</v>
      </c>
      <c r="F4" s="19">
        <f>RealizedReturn!G65</f>
        <v>7.2415917786523426E-3</v>
      </c>
      <c r="G4" s="19">
        <f>RealizedReturn!H65</f>
        <v>7.1827806479290712E-3</v>
      </c>
      <c r="H4" s="19">
        <f>RealizedReturn!I65</f>
        <v>1.0922902764380869E-2</v>
      </c>
      <c r="I4" s="19">
        <f>RealizedReturn!J65</f>
        <v>7.7619668834678071E-3</v>
      </c>
      <c r="J4" s="19">
        <f>RealizedReturn!K65</f>
        <v>2.7032334624970144E-3</v>
      </c>
    </row>
    <row r="6" spans="1:10" ht="14.25" x14ac:dyDescent="0.2">
      <c r="A6" t="s">
        <v>41</v>
      </c>
      <c r="B6" t="s">
        <v>42</v>
      </c>
    </row>
    <row r="7" spans="1:10" ht="14.25" x14ac:dyDescent="0.2">
      <c r="B7" s="15" t="s">
        <v>10</v>
      </c>
      <c r="C7" s="15" t="s">
        <v>11</v>
      </c>
      <c r="D7" s="15" t="s">
        <v>12</v>
      </c>
      <c r="E7" s="15" t="s">
        <v>13</v>
      </c>
      <c r="F7" s="15" t="s">
        <v>14</v>
      </c>
      <c r="G7" s="15" t="s">
        <v>15</v>
      </c>
      <c r="H7" s="15" t="s">
        <v>16</v>
      </c>
      <c r="I7" s="15" t="s">
        <v>17</v>
      </c>
      <c r="J7" s="15" t="s">
        <v>18</v>
      </c>
    </row>
    <row r="8" spans="1:10" ht="15" x14ac:dyDescent="0.25">
      <c r="A8" s="16" t="s">
        <v>28</v>
      </c>
      <c r="B8" s="42">
        <f>RealizedReturn!C81</f>
        <v>5.7822820218885419E-3</v>
      </c>
      <c r="C8" s="42">
        <f>RealizedReturn!D81</f>
        <v>3.1123478307913768E-3</v>
      </c>
      <c r="D8" s="42">
        <f>RealizedReturn!E81</f>
        <v>5.1933519599690924E-4</v>
      </c>
      <c r="E8" s="42">
        <f>RealizedReturn!F81</f>
        <v>2.8273142663229997E-3</v>
      </c>
      <c r="F8" s="42">
        <f>RealizedReturn!G81</f>
        <v>2.0798459186755287E-3</v>
      </c>
      <c r="G8" s="42">
        <f>RealizedReturn!H81</f>
        <v>3.3763120827215122E-3</v>
      </c>
      <c r="H8" s="42">
        <f>RealizedReturn!I81</f>
        <v>1.6251700333755332E-3</v>
      </c>
      <c r="I8" s="42">
        <f>RealizedReturn!J81</f>
        <v>1.1885758983456458E-3</v>
      </c>
      <c r="J8" s="42">
        <f>RealizedReturn!K81</f>
        <v>2.1881168205124747E-3</v>
      </c>
    </row>
    <row r="9" spans="1:10" ht="15" x14ac:dyDescent="0.25">
      <c r="A9" s="16" t="s">
        <v>29</v>
      </c>
      <c r="B9" s="42">
        <f>RealizedReturn!C82</f>
        <v>3.1123478307913768E-3</v>
      </c>
      <c r="C9" s="42">
        <f>RealizedReturn!D82</f>
        <v>5.3672624582309413E-3</v>
      </c>
      <c r="D9" s="42">
        <f>RealizedReturn!E82</f>
        <v>8.1853184343508962E-4</v>
      </c>
      <c r="E9" s="42">
        <f>RealizedReturn!F82</f>
        <v>3.5092863208751068E-3</v>
      </c>
      <c r="F9" s="42">
        <f>RealizedReturn!G82</f>
        <v>2.7524729514720489E-3</v>
      </c>
      <c r="G9" s="42">
        <f>RealizedReturn!H82</f>
        <v>5.0041733159919425E-3</v>
      </c>
      <c r="H9" s="42">
        <f>RealizedReturn!I82</f>
        <v>1.7532684499023243E-3</v>
      </c>
      <c r="I9" s="42">
        <f>RealizedReturn!J82</f>
        <v>1.6127928654380724E-3</v>
      </c>
      <c r="J9" s="42">
        <f>RealizedReturn!K82</f>
        <v>3.0319632332703626E-3</v>
      </c>
    </row>
    <row r="10" spans="1:10" ht="15" x14ac:dyDescent="0.25">
      <c r="A10" s="16" t="s">
        <v>30</v>
      </c>
      <c r="B10" s="42">
        <f>RealizedReturn!C83</f>
        <v>5.1933519599690924E-4</v>
      </c>
      <c r="C10" s="42">
        <f>RealizedReturn!D83</f>
        <v>8.1853184343508962E-4</v>
      </c>
      <c r="D10" s="42">
        <f>RealizedReturn!E83</f>
        <v>8.9615787966841501E-4</v>
      </c>
      <c r="E10" s="42">
        <f>RealizedReturn!F83</f>
        <v>6.9069617098431815E-4</v>
      </c>
      <c r="F10" s="42">
        <f>RealizedReturn!G83</f>
        <v>5.7600483440853388E-4</v>
      </c>
      <c r="G10" s="42">
        <f>RealizedReturn!H83</f>
        <v>9.2154874493060169E-4</v>
      </c>
      <c r="H10" s="42">
        <f>RealizedReturn!I83</f>
        <v>9.3971182720479075E-4</v>
      </c>
      <c r="I10" s="42">
        <f>RealizedReturn!J83</f>
        <v>5.1108601334076892E-4</v>
      </c>
      <c r="J10" s="42">
        <f>RealizedReturn!K83</f>
        <v>4.5085324808061294E-4</v>
      </c>
    </row>
    <row r="11" spans="1:10" ht="15" x14ac:dyDescent="0.25">
      <c r="A11" s="16" t="s">
        <v>31</v>
      </c>
      <c r="B11" s="42">
        <f>RealizedReturn!C84</f>
        <v>2.8273142663229997E-3</v>
      </c>
      <c r="C11" s="42">
        <f>RealizedReturn!D84</f>
        <v>3.5092863208751068E-3</v>
      </c>
      <c r="D11" s="42">
        <f>RealizedReturn!E84</f>
        <v>6.9069617098431815E-4</v>
      </c>
      <c r="E11" s="42">
        <f>RealizedReturn!F84</f>
        <v>4.9531954370296682E-3</v>
      </c>
      <c r="F11" s="42">
        <f>RealizedReturn!G84</f>
        <v>2.0698020246465738E-3</v>
      </c>
      <c r="G11" s="42">
        <f>RealizedReturn!H84</f>
        <v>3.9955124933083357E-3</v>
      </c>
      <c r="H11" s="42">
        <f>RealizedReturn!I84</f>
        <v>1.6954838621552506E-3</v>
      </c>
      <c r="I11" s="42">
        <f>RealizedReturn!J84</f>
        <v>8.8061732567353826E-4</v>
      </c>
      <c r="J11" s="42">
        <f>RealizedReturn!K84</f>
        <v>2.5566624840149669E-3</v>
      </c>
    </row>
    <row r="12" spans="1:10" ht="15" x14ac:dyDescent="0.25">
      <c r="A12" s="16" t="s">
        <v>32</v>
      </c>
      <c r="B12" s="42">
        <f>RealizedReturn!C85</f>
        <v>2.0798459186755287E-3</v>
      </c>
      <c r="C12" s="42">
        <f>RealizedReturn!D85</f>
        <v>2.7524729514720489E-3</v>
      </c>
      <c r="D12" s="42">
        <f>RealizedReturn!E85</f>
        <v>5.7600483440853388E-4</v>
      </c>
      <c r="E12" s="42">
        <f>RealizedReturn!F85</f>
        <v>2.0698020246465738E-3</v>
      </c>
      <c r="F12" s="42">
        <f>RealizedReturn!G85</f>
        <v>2.5523287718271837E-3</v>
      </c>
      <c r="G12" s="42">
        <f>RealizedReturn!H85</f>
        <v>3.1061952129375417E-3</v>
      </c>
      <c r="H12" s="42">
        <f>RealizedReturn!I85</f>
        <v>1.0545570435307005E-3</v>
      </c>
      <c r="I12" s="42">
        <f>RealizedReturn!J85</f>
        <v>1.0702296627389085E-3</v>
      </c>
      <c r="J12" s="42">
        <f>RealizedReturn!K85</f>
        <v>2.0043412828511611E-3</v>
      </c>
    </row>
    <row r="13" spans="1:10" ht="15" x14ac:dyDescent="0.25">
      <c r="A13" s="16" t="s">
        <v>33</v>
      </c>
      <c r="B13" s="42">
        <f>RealizedReturn!C86</f>
        <v>3.3763120827215122E-3</v>
      </c>
      <c r="C13" s="42">
        <f>RealizedReturn!D86</f>
        <v>5.0041733159919425E-3</v>
      </c>
      <c r="D13" s="42">
        <f>RealizedReturn!E86</f>
        <v>9.2154874493060169E-4</v>
      </c>
      <c r="E13" s="42">
        <f>RealizedReturn!F86</f>
        <v>3.9955124933083357E-3</v>
      </c>
      <c r="F13" s="42">
        <f>RealizedReturn!G86</f>
        <v>3.1061952129375417E-3</v>
      </c>
      <c r="G13" s="42">
        <f>RealizedReturn!H86</f>
        <v>6.3459198902493371E-3</v>
      </c>
      <c r="H13" s="42">
        <f>RealizedReturn!I86</f>
        <v>2.262421147427288E-3</v>
      </c>
      <c r="I13" s="42">
        <f>RealizedReturn!J86</f>
        <v>1.8719142787774949E-3</v>
      </c>
      <c r="J13" s="42">
        <f>RealizedReturn!K86</f>
        <v>3.3753588143884614E-3</v>
      </c>
    </row>
    <row r="14" spans="1:10" ht="15" x14ac:dyDescent="0.25">
      <c r="A14" s="16" t="s">
        <v>34</v>
      </c>
      <c r="B14" s="42">
        <f>RealizedReturn!C87</f>
        <v>1.6251700333755332E-3</v>
      </c>
      <c r="C14" s="42">
        <f>RealizedReturn!D87</f>
        <v>1.7532684499023243E-3</v>
      </c>
      <c r="D14" s="42">
        <f>RealizedReturn!E87</f>
        <v>9.3971182720479075E-4</v>
      </c>
      <c r="E14" s="42">
        <f>RealizedReturn!F87</f>
        <v>1.6954838621552506E-3</v>
      </c>
      <c r="F14" s="42">
        <f>RealizedReturn!G87</f>
        <v>1.0545570435307005E-3</v>
      </c>
      <c r="G14" s="42">
        <f>RealizedReturn!H87</f>
        <v>2.262421147427288E-3</v>
      </c>
      <c r="H14" s="42">
        <f>RealizedReturn!I87</f>
        <v>2.5479654460959463E-3</v>
      </c>
      <c r="I14" s="42">
        <f>RealizedReturn!J87</f>
        <v>8.8080683446292328E-4</v>
      </c>
      <c r="J14" s="42">
        <f>RealizedReturn!K87</f>
        <v>8.739447231842759E-4</v>
      </c>
    </row>
    <row r="15" spans="1:10" ht="15" x14ac:dyDescent="0.25">
      <c r="A15" s="16" t="s">
        <v>35</v>
      </c>
      <c r="B15" s="42">
        <f>RealizedReturn!C88</f>
        <v>1.1885758983456458E-3</v>
      </c>
      <c r="C15" s="42">
        <f>RealizedReturn!D88</f>
        <v>1.6127928654380724E-3</v>
      </c>
      <c r="D15" s="42">
        <f>RealizedReturn!E88</f>
        <v>5.1108601334076892E-4</v>
      </c>
      <c r="E15" s="42">
        <f>RealizedReturn!F88</f>
        <v>8.8061732567353826E-4</v>
      </c>
      <c r="F15" s="42">
        <f>RealizedReturn!G88</f>
        <v>1.0702296627389085E-3</v>
      </c>
      <c r="G15" s="42">
        <f>RealizedReturn!H88</f>
        <v>1.8719142787774949E-3</v>
      </c>
      <c r="H15" s="42">
        <f>RealizedReturn!I88</f>
        <v>8.8080683446292328E-4</v>
      </c>
      <c r="I15" s="42">
        <f>RealizedReturn!J88</f>
        <v>2.6173473416385221E-3</v>
      </c>
      <c r="J15" s="42">
        <f>RealizedReturn!K88</f>
        <v>1.2820650478130341E-3</v>
      </c>
    </row>
    <row r="16" spans="1:10" ht="15" x14ac:dyDescent="0.25">
      <c r="A16" s="16" t="s">
        <v>36</v>
      </c>
      <c r="B16" s="42">
        <f>RealizedReturn!C89</f>
        <v>2.1881168205124747E-3</v>
      </c>
      <c r="C16" s="42">
        <f>RealizedReturn!D89</f>
        <v>3.0319632332703626E-3</v>
      </c>
      <c r="D16" s="42">
        <f>RealizedReturn!E89</f>
        <v>4.5085324808061294E-4</v>
      </c>
      <c r="E16" s="42">
        <f>RealizedReturn!F89</f>
        <v>2.5566624840149669E-3</v>
      </c>
      <c r="F16" s="42">
        <f>RealizedReturn!G89</f>
        <v>2.0043412828511611E-3</v>
      </c>
      <c r="G16" s="42">
        <f>RealizedReturn!H89</f>
        <v>3.3753588143884614E-3</v>
      </c>
      <c r="H16" s="42">
        <f>RealizedReturn!I89</f>
        <v>8.739447231842759E-4</v>
      </c>
      <c r="I16" s="42">
        <f>RealizedReturn!J89</f>
        <v>1.2820650478130341E-3</v>
      </c>
      <c r="J16" s="42">
        <f>RealizedReturn!K89</f>
        <v>4.1921902698451368E-3</v>
      </c>
    </row>
    <row r="18" spans="1:10" ht="14.25" x14ac:dyDescent="0.2">
      <c r="A18" s="17" t="s">
        <v>43</v>
      </c>
      <c r="B18" s="17" t="s">
        <v>44</v>
      </c>
    </row>
    <row r="19" spans="1:10" ht="14.25" x14ac:dyDescent="0.2">
      <c r="B19" s="15" t="s">
        <v>10</v>
      </c>
      <c r="C19" s="15" t="s">
        <v>11</v>
      </c>
      <c r="D19" s="15" t="s">
        <v>12</v>
      </c>
      <c r="E19" s="15" t="s">
        <v>13</v>
      </c>
      <c r="F19" s="15" t="s">
        <v>14</v>
      </c>
      <c r="G19" s="15" t="s">
        <v>15</v>
      </c>
      <c r="H19" s="15" t="s">
        <v>16</v>
      </c>
      <c r="I19" s="15" t="s">
        <v>17</v>
      </c>
      <c r="J19" s="15" t="s">
        <v>18</v>
      </c>
    </row>
    <row r="20" spans="1:10" x14ac:dyDescent="0.15">
      <c r="B20" s="40">
        <v>2.1587730232515454E-2</v>
      </c>
      <c r="C20" s="40">
        <v>6.6711142730704123E-2</v>
      </c>
      <c r="D20" s="40">
        <v>0.70659102008455754</v>
      </c>
      <c r="E20" s="40">
        <v>0</v>
      </c>
      <c r="F20" s="40">
        <v>0</v>
      </c>
      <c r="G20" s="40">
        <v>0</v>
      </c>
      <c r="H20" s="40">
        <v>0.11620721139867302</v>
      </c>
      <c r="I20" s="40">
        <v>8.8902895553549577E-2</v>
      </c>
      <c r="J20" s="40">
        <v>0</v>
      </c>
    </row>
    <row r="22" spans="1:10" ht="14.25" x14ac:dyDescent="0.2">
      <c r="A22" s="17" t="s">
        <v>45</v>
      </c>
      <c r="B22" s="17" t="s">
        <v>46</v>
      </c>
      <c r="C22" s="17"/>
    </row>
    <row r="23" spans="1:10" ht="15" x14ac:dyDescent="0.25">
      <c r="A23" s="20" t="s">
        <v>47</v>
      </c>
    </row>
    <row r="24" spans="1:10" x14ac:dyDescent="0.15">
      <c r="A24" s="18"/>
      <c r="B24" s="43">
        <f>B20</f>
        <v>2.1587730232515454E-2</v>
      </c>
      <c r="C24" s="43">
        <f t="shared" ref="C24:J24" si="0">C20</f>
        <v>6.6711142730704123E-2</v>
      </c>
      <c r="D24" s="43">
        <f t="shared" si="0"/>
        <v>0.70659102008455754</v>
      </c>
      <c r="E24" s="43">
        <f t="shared" si="0"/>
        <v>0</v>
      </c>
      <c r="F24" s="43">
        <f t="shared" si="0"/>
        <v>0</v>
      </c>
      <c r="G24" s="43">
        <f t="shared" si="0"/>
        <v>0</v>
      </c>
      <c r="H24" s="43">
        <f t="shared" si="0"/>
        <v>0.11620721139867302</v>
      </c>
      <c r="I24" s="43">
        <f t="shared" si="0"/>
        <v>8.8902895553549577E-2</v>
      </c>
      <c r="J24" s="43">
        <f t="shared" si="0"/>
        <v>0</v>
      </c>
    </row>
    <row r="25" spans="1:10" x14ac:dyDescent="0.15">
      <c r="A25" s="19">
        <f>B20</f>
        <v>2.1587730232515454E-2</v>
      </c>
      <c r="B25" s="42">
        <f>A25*B24*B8</f>
        <v>2.6947174491821031E-6</v>
      </c>
      <c r="C25" s="42">
        <f>A25*C24*C8</f>
        <v>4.4822233052151254E-6</v>
      </c>
      <c r="D25" s="42">
        <f>A25*D24*D8</f>
        <v>7.9217813712980789E-6</v>
      </c>
      <c r="E25" s="42">
        <f>A25*E24*E8</f>
        <v>0</v>
      </c>
      <c r="F25" s="42">
        <f>A25*F24*F8</f>
        <v>0</v>
      </c>
      <c r="G25" s="42">
        <f>A25*G24*G8</f>
        <v>0</v>
      </c>
      <c r="H25" s="42">
        <f>A25*H24*H8</f>
        <v>4.076982691680359E-6</v>
      </c>
      <c r="I25" s="42">
        <f>A25*I24*I8</f>
        <v>2.2811288014642416E-6</v>
      </c>
      <c r="J25" s="42">
        <f>A25*J24*J8</f>
        <v>0</v>
      </c>
    </row>
    <row r="26" spans="1:10" x14ac:dyDescent="0.15">
      <c r="A26" s="19">
        <f>C20</f>
        <v>6.6711142730704123E-2</v>
      </c>
      <c r="B26" s="42">
        <f>A26*B24*B9</f>
        <v>4.4822233052151254E-6</v>
      </c>
      <c r="C26" s="42">
        <f>A26*C24*C9</f>
        <v>2.3886339059290164E-5</v>
      </c>
      <c r="D26" s="42">
        <f>A26*D24*D9</f>
        <v>3.8583540180491036E-5</v>
      </c>
      <c r="E26" s="42">
        <f>A26*E24*E9</f>
        <v>0</v>
      </c>
      <c r="F26" s="42">
        <f>A26*F24*F9</f>
        <v>0</v>
      </c>
      <c r="G26" s="42">
        <f>A26*G24*G9</f>
        <v>0</v>
      </c>
      <c r="H26" s="42">
        <f>A26*H24*H9</f>
        <v>1.3591890821454335E-5</v>
      </c>
      <c r="I26" s="42">
        <f>A26*I24*I9</f>
        <v>9.5651741094120556E-6</v>
      </c>
      <c r="J26" s="42">
        <f>A26*J24*J9</f>
        <v>0</v>
      </c>
    </row>
    <row r="27" spans="1:10" x14ac:dyDescent="0.15">
      <c r="A27" s="19">
        <f>D20</f>
        <v>0.70659102008455754</v>
      </c>
      <c r="B27" s="42">
        <f>A27*B24*B10</f>
        <v>7.9217813712980789E-6</v>
      </c>
      <c r="C27" s="42">
        <f>A27*C24*C10</f>
        <v>3.8583540180491036E-5</v>
      </c>
      <c r="D27" s="42">
        <f>A27*D24*D10</f>
        <v>4.4742552393841733E-4</v>
      </c>
      <c r="E27" s="42">
        <f>A27*E24*E10</f>
        <v>0</v>
      </c>
      <c r="F27" s="42">
        <f>A27*F24*F10</f>
        <v>0</v>
      </c>
      <c r="G27" s="42">
        <f>A27*G24*G10</f>
        <v>0</v>
      </c>
      <c r="H27" s="42">
        <f>A27*H24*H10</f>
        <v>7.7160651572436888E-5</v>
      </c>
      <c r="I27" s="42">
        <f>A27*I24*I10</f>
        <v>3.2105394878039736E-5</v>
      </c>
      <c r="J27" s="42">
        <f>A27*J24*J10</f>
        <v>0</v>
      </c>
    </row>
    <row r="28" spans="1:10" x14ac:dyDescent="0.15">
      <c r="A28" s="19">
        <f>E20</f>
        <v>0</v>
      </c>
      <c r="B28" s="42">
        <f>A28*B24*B11</f>
        <v>0</v>
      </c>
      <c r="C28" s="42">
        <f>A28*C24*C11</f>
        <v>0</v>
      </c>
      <c r="D28" s="42">
        <f>A28*D24*D11</f>
        <v>0</v>
      </c>
      <c r="E28" s="42">
        <f>A28*E24*E11</f>
        <v>0</v>
      </c>
      <c r="F28" s="42">
        <f>A28*F24*F11</f>
        <v>0</v>
      </c>
      <c r="G28" s="42">
        <f>A28*G24*G11</f>
        <v>0</v>
      </c>
      <c r="H28" s="42">
        <f>A28*H24*H11</f>
        <v>0</v>
      </c>
      <c r="I28" s="42">
        <f>A28*I24*I11</f>
        <v>0</v>
      </c>
      <c r="J28" s="42">
        <f>A28*J24*J11</f>
        <v>0</v>
      </c>
    </row>
    <row r="29" spans="1:10" x14ac:dyDescent="0.15">
      <c r="A29" s="19">
        <f>F20</f>
        <v>0</v>
      </c>
      <c r="B29" s="42">
        <f>A29*B24*B12</f>
        <v>0</v>
      </c>
      <c r="C29" s="42">
        <f>A29*C24*C12</f>
        <v>0</v>
      </c>
      <c r="D29" s="42">
        <f>A29*D24*D12</f>
        <v>0</v>
      </c>
      <c r="E29" s="42">
        <f>A29*E24*E12</f>
        <v>0</v>
      </c>
      <c r="F29" s="42">
        <f>A29*F24*F12</f>
        <v>0</v>
      </c>
      <c r="G29" s="42">
        <f>A29*G24*G12</f>
        <v>0</v>
      </c>
      <c r="H29" s="42">
        <f>A29*H24*H12</f>
        <v>0</v>
      </c>
      <c r="I29" s="42">
        <f>A29*I24*I12</f>
        <v>0</v>
      </c>
      <c r="J29" s="42">
        <f>A29*J24*J12</f>
        <v>0</v>
      </c>
    </row>
    <row r="30" spans="1:10" x14ac:dyDescent="0.15">
      <c r="A30" s="19">
        <f>G20</f>
        <v>0</v>
      </c>
      <c r="B30" s="42">
        <f>A30*B24*B13</f>
        <v>0</v>
      </c>
      <c r="C30" s="42">
        <f>A30*C24*C13</f>
        <v>0</v>
      </c>
      <c r="D30" s="42">
        <f>A30*D24*D13</f>
        <v>0</v>
      </c>
      <c r="E30" s="42">
        <f>A30*E24*E13</f>
        <v>0</v>
      </c>
      <c r="F30" s="42">
        <f>A30*F24*F13</f>
        <v>0</v>
      </c>
      <c r="G30" s="42">
        <f>A30*G24*G13</f>
        <v>0</v>
      </c>
      <c r="H30" s="42">
        <f>A30*H24*H13</f>
        <v>0</v>
      </c>
      <c r="I30" s="42">
        <f>A30*I24*I13</f>
        <v>0</v>
      </c>
      <c r="J30" s="42">
        <f>A30*J24*J13</f>
        <v>0</v>
      </c>
    </row>
    <row r="31" spans="1:10" x14ac:dyDescent="0.15">
      <c r="A31" s="19">
        <f>H20</f>
        <v>0.11620721139867302</v>
      </c>
      <c r="B31" s="42">
        <f>A31*B24*B14</f>
        <v>4.076982691680359E-6</v>
      </c>
      <c r="C31" s="42">
        <f>A31*C24*C14</f>
        <v>1.3591890821454335E-5</v>
      </c>
      <c r="D31" s="42">
        <f>A31*D24*D14</f>
        <v>7.7160651572436888E-5</v>
      </c>
      <c r="E31" s="42">
        <f>A31*E24*E14</f>
        <v>0</v>
      </c>
      <c r="F31" s="42">
        <f>A31*F24*F14</f>
        <v>0</v>
      </c>
      <c r="G31" s="42">
        <f>A31*G24*G14</f>
        <v>0</v>
      </c>
      <c r="H31" s="42">
        <f>A31*H24*H14</f>
        <v>3.4408020899802444E-5</v>
      </c>
      <c r="I31" s="42">
        <f>A31*I24*I14</f>
        <v>9.0997542022154786E-6</v>
      </c>
      <c r="J31" s="42">
        <f>A31*J24*J14</f>
        <v>0</v>
      </c>
    </row>
    <row r="32" spans="1:10" x14ac:dyDescent="0.15">
      <c r="A32" s="19">
        <f>I20</f>
        <v>8.8902895553549577E-2</v>
      </c>
      <c r="B32" s="42">
        <f>A32*B24*B15</f>
        <v>2.2811288014642416E-6</v>
      </c>
      <c r="C32" s="42">
        <f>A32*C24*C15</f>
        <v>9.5651741094120556E-6</v>
      </c>
      <c r="D32" s="42">
        <f>A32*D24*D15</f>
        <v>3.2105394878039736E-5</v>
      </c>
      <c r="E32" s="42">
        <f>A32*E24*E15</f>
        <v>0</v>
      </c>
      <c r="F32" s="42">
        <f>A32*F24*F15</f>
        <v>0</v>
      </c>
      <c r="G32" s="42">
        <f>A32*G24*G15</f>
        <v>0</v>
      </c>
      <c r="H32" s="42">
        <f>A32*H24*H15</f>
        <v>9.0997542022154786E-6</v>
      </c>
      <c r="I32" s="42">
        <f>A32*I24*I15</f>
        <v>2.0686793193272177E-5</v>
      </c>
      <c r="J32" s="42">
        <f>A32*J24*J15</f>
        <v>0</v>
      </c>
    </row>
    <row r="33" spans="1:10" x14ac:dyDescent="0.15">
      <c r="A33" s="19">
        <f>J20</f>
        <v>0</v>
      </c>
      <c r="B33" s="42">
        <f>A33*B24*B16</f>
        <v>0</v>
      </c>
      <c r="C33" s="42">
        <f>A33*C24*C16</f>
        <v>0</v>
      </c>
      <c r="D33" s="42">
        <f>A33*D24*D16</f>
        <v>0</v>
      </c>
      <c r="E33" s="42">
        <f>A33*E24*E16</f>
        <v>0</v>
      </c>
      <c r="F33" s="42">
        <f>A33*F24*F16</f>
        <v>0</v>
      </c>
      <c r="G33" s="42">
        <f>A33*G24*G16</f>
        <v>0</v>
      </c>
      <c r="H33" s="42">
        <f>A33*H24*H16</f>
        <v>0</v>
      </c>
      <c r="I33" s="42">
        <f>A33*I24*I16</f>
        <v>0</v>
      </c>
      <c r="J33" s="42">
        <f>A33*J24*J16</f>
        <v>0</v>
      </c>
    </row>
    <row r="35" spans="1:10" ht="14.25" x14ac:dyDescent="0.2">
      <c r="A35" s="17" t="s">
        <v>49</v>
      </c>
      <c r="B35" s="17" t="s">
        <v>48</v>
      </c>
    </row>
    <row r="36" spans="1:10" ht="14.25" x14ac:dyDescent="0.2">
      <c r="A36" s="21" t="s">
        <v>70</v>
      </c>
      <c r="B36" s="15" t="s">
        <v>10</v>
      </c>
      <c r="C36" s="15" t="s">
        <v>11</v>
      </c>
      <c r="D36" s="15" t="s">
        <v>12</v>
      </c>
      <c r="E36" s="15" t="s">
        <v>13</v>
      </c>
      <c r="F36" s="15" t="s">
        <v>14</v>
      </c>
      <c r="G36" s="15" t="s">
        <v>15</v>
      </c>
      <c r="H36" s="15" t="s">
        <v>16</v>
      </c>
      <c r="I36" s="15" t="s">
        <v>17</v>
      </c>
      <c r="J36" s="15" t="s">
        <v>18</v>
      </c>
    </row>
    <row r="37" spans="1:10" x14ac:dyDescent="0.15">
      <c r="B37" s="18">
        <f>B4*B20</f>
        <v>1.9865817695490095E-4</v>
      </c>
      <c r="C37" s="18">
        <f t="shared" ref="C37:J37" si="1">C4*C20</f>
        <v>8.2230914201752135E-4</v>
      </c>
      <c r="D37" s="18">
        <f t="shared" si="1"/>
        <v>5.6346927571762047E-3</v>
      </c>
      <c r="E37" s="18">
        <f t="shared" si="1"/>
        <v>0</v>
      </c>
      <c r="F37" s="18">
        <f t="shared" si="1"/>
        <v>0</v>
      </c>
      <c r="G37" s="18">
        <f t="shared" si="1"/>
        <v>0</v>
      </c>
      <c r="H37" s="18">
        <f t="shared" si="1"/>
        <v>1.2693200706275576E-3</v>
      </c>
      <c r="I37" s="18">
        <f t="shared" si="1"/>
        <v>6.9006133113104918E-4</v>
      </c>
      <c r="J37" s="18">
        <f t="shared" si="1"/>
        <v>0</v>
      </c>
    </row>
    <row r="39" spans="1:10" ht="14.25" x14ac:dyDescent="0.2">
      <c r="A39" s="47" t="s">
        <v>74</v>
      </c>
      <c r="B39" s="19">
        <v>5.0000000000000001E-4</v>
      </c>
      <c r="D39" s="47" t="s">
        <v>71</v>
      </c>
      <c r="E39" s="19">
        <f>SUM(B37:J37)</f>
        <v>8.6150414779072332E-3</v>
      </c>
      <c r="G39" s="45" t="s">
        <v>73</v>
      </c>
      <c r="H39" s="43">
        <f>SQRT(SUM(B25:J33))</f>
        <v>3.0444021390206959E-2</v>
      </c>
    </row>
    <row r="40" spans="1:10" ht="14.25" thickBot="1" x14ac:dyDescent="0.2"/>
    <row r="41" spans="1:10" ht="15" thickBot="1" x14ac:dyDescent="0.25">
      <c r="A41" s="22" t="s">
        <v>51</v>
      </c>
      <c r="B41" s="23"/>
      <c r="C41" s="23"/>
      <c r="D41" s="23"/>
      <c r="E41" s="23"/>
      <c r="F41" s="23"/>
      <c r="G41" s="23"/>
      <c r="H41" s="23"/>
      <c r="I41" s="23"/>
      <c r="J41" s="24"/>
    </row>
    <row r="42" spans="1:10" ht="15" thickBot="1" x14ac:dyDescent="0.25">
      <c r="A42" s="25" t="s">
        <v>72</v>
      </c>
      <c r="B42" s="26"/>
      <c r="C42" s="26"/>
      <c r="D42" s="27">
        <f>(E39-B39)/H39</f>
        <v>0.2665561613525087</v>
      </c>
      <c r="E42" s="26"/>
      <c r="F42" s="26"/>
      <c r="G42" s="26"/>
      <c r="H42" s="26"/>
      <c r="I42" s="26"/>
      <c r="J42" s="28"/>
    </row>
    <row r="43" spans="1:10" x14ac:dyDescent="0.15">
      <c r="A43" s="29"/>
      <c r="B43" s="26"/>
      <c r="C43" s="26"/>
      <c r="D43" s="26"/>
      <c r="E43" s="26"/>
      <c r="F43" s="26"/>
      <c r="G43" s="26"/>
      <c r="H43" s="26"/>
      <c r="I43" s="26"/>
      <c r="J43" s="28"/>
    </row>
    <row r="44" spans="1:10" ht="14.25" x14ac:dyDescent="0.2">
      <c r="A44" s="30" t="s">
        <v>53</v>
      </c>
      <c r="B44" s="26"/>
      <c r="C44" s="26"/>
      <c r="D44" s="26"/>
      <c r="E44" s="26"/>
      <c r="F44" s="26"/>
      <c r="G44" s="26"/>
      <c r="H44" s="26"/>
      <c r="I44" s="26"/>
      <c r="J44" s="28"/>
    </row>
    <row r="45" spans="1:10" x14ac:dyDescent="0.15">
      <c r="A45" s="64" t="s">
        <v>54</v>
      </c>
      <c r="B45" s="64"/>
      <c r="C45" s="31">
        <f>SUM(B20:J20)</f>
        <v>0.99999999999999978</v>
      </c>
      <c r="D45" s="32" t="s">
        <v>55</v>
      </c>
      <c r="E45" s="33">
        <v>1</v>
      </c>
      <c r="F45" s="26"/>
      <c r="G45" s="26"/>
      <c r="H45" s="26"/>
      <c r="I45" s="26"/>
      <c r="J45" s="28"/>
    </row>
    <row r="46" spans="1:10" x14ac:dyDescent="0.15">
      <c r="A46" s="64" t="s">
        <v>58</v>
      </c>
      <c r="B46" s="64"/>
      <c r="C46" s="31">
        <f>B20</f>
        <v>2.1587730232515454E-2</v>
      </c>
      <c r="D46" s="32" t="s">
        <v>56</v>
      </c>
      <c r="E46" s="33">
        <v>0</v>
      </c>
      <c r="F46" s="26"/>
      <c r="G46" s="26"/>
      <c r="H46" s="26"/>
      <c r="I46" s="26"/>
      <c r="J46" s="28"/>
    </row>
    <row r="47" spans="1:10" x14ac:dyDescent="0.15">
      <c r="A47" s="64" t="s">
        <v>59</v>
      </c>
      <c r="B47" s="64"/>
      <c r="C47" s="31">
        <f>C20</f>
        <v>6.6711142730704123E-2</v>
      </c>
      <c r="D47" s="32" t="s">
        <v>56</v>
      </c>
      <c r="E47" s="33">
        <v>0</v>
      </c>
      <c r="F47" s="26"/>
      <c r="G47" s="26"/>
      <c r="H47" s="26"/>
      <c r="I47" s="26"/>
      <c r="J47" s="28"/>
    </row>
    <row r="48" spans="1:10" x14ac:dyDescent="0.15">
      <c r="A48" s="64" t="s">
        <v>60</v>
      </c>
      <c r="B48" s="64"/>
      <c r="C48" s="31">
        <f>D20</f>
        <v>0.70659102008455754</v>
      </c>
      <c r="D48" s="32" t="s">
        <v>56</v>
      </c>
      <c r="E48" s="33">
        <v>0</v>
      </c>
      <c r="F48" s="26"/>
      <c r="G48" s="26"/>
      <c r="H48" s="26"/>
      <c r="I48" s="26"/>
      <c r="J48" s="28"/>
    </row>
    <row r="49" spans="1:13" x14ac:dyDescent="0.15">
      <c r="A49" s="64" t="s">
        <v>61</v>
      </c>
      <c r="B49" s="64"/>
      <c r="C49" s="31">
        <f>E20</f>
        <v>0</v>
      </c>
      <c r="D49" s="32" t="s">
        <v>56</v>
      </c>
      <c r="E49" s="33">
        <v>0</v>
      </c>
      <c r="F49" s="26"/>
      <c r="G49" s="26"/>
      <c r="H49" s="26"/>
      <c r="I49" s="26"/>
      <c r="J49" s="28"/>
    </row>
    <row r="50" spans="1:13" x14ac:dyDescent="0.15">
      <c r="A50" s="64" t="s">
        <v>62</v>
      </c>
      <c r="B50" s="64"/>
      <c r="C50" s="31">
        <f>F20</f>
        <v>0</v>
      </c>
      <c r="D50" s="32" t="s">
        <v>56</v>
      </c>
      <c r="E50" s="33">
        <v>0</v>
      </c>
      <c r="F50" s="26"/>
      <c r="G50" s="26"/>
      <c r="H50" s="26"/>
      <c r="I50" s="26"/>
      <c r="J50" s="28"/>
    </row>
    <row r="51" spans="1:13" x14ac:dyDescent="0.15">
      <c r="A51" s="64" t="s">
        <v>63</v>
      </c>
      <c r="B51" s="64"/>
      <c r="C51" s="31">
        <f>G20</f>
        <v>0</v>
      </c>
      <c r="D51" s="32" t="s">
        <v>56</v>
      </c>
      <c r="E51" s="33">
        <v>0</v>
      </c>
      <c r="F51" s="26"/>
      <c r="G51" s="26"/>
      <c r="H51" s="26"/>
      <c r="I51" s="26"/>
      <c r="J51" s="28"/>
    </row>
    <row r="52" spans="1:13" x14ac:dyDescent="0.15">
      <c r="A52" s="64" t="s">
        <v>64</v>
      </c>
      <c r="B52" s="64"/>
      <c r="C52" s="31">
        <f>H20</f>
        <v>0.11620721139867302</v>
      </c>
      <c r="D52" s="32" t="s">
        <v>56</v>
      </c>
      <c r="E52" s="33">
        <v>0</v>
      </c>
      <c r="F52" s="26"/>
      <c r="G52" s="26"/>
      <c r="H52" s="26"/>
      <c r="I52" s="26"/>
      <c r="J52" s="28"/>
    </row>
    <row r="53" spans="1:13" x14ac:dyDescent="0.15">
      <c r="A53" s="64" t="s">
        <v>65</v>
      </c>
      <c r="B53" s="64"/>
      <c r="C53" s="31">
        <f>I20</f>
        <v>8.8902895553549577E-2</v>
      </c>
      <c r="D53" s="32" t="s">
        <v>56</v>
      </c>
      <c r="E53" s="33">
        <v>0</v>
      </c>
      <c r="F53" s="26"/>
      <c r="G53" s="26"/>
      <c r="H53" s="26"/>
      <c r="I53" s="26"/>
      <c r="J53" s="28"/>
    </row>
    <row r="54" spans="1:13" x14ac:dyDescent="0.15">
      <c r="A54" s="64" t="s">
        <v>66</v>
      </c>
      <c r="B54" s="64"/>
      <c r="C54" s="31">
        <f>J20</f>
        <v>0</v>
      </c>
      <c r="D54" s="32" t="s">
        <v>56</v>
      </c>
      <c r="E54" s="33">
        <v>0</v>
      </c>
      <c r="F54" s="26"/>
      <c r="G54" s="26"/>
      <c r="H54" s="26"/>
      <c r="I54" s="26"/>
      <c r="J54" s="28"/>
    </row>
    <row r="55" spans="1:13" ht="14.25" thickBot="1" x14ac:dyDescent="0.2">
      <c r="A55" s="37"/>
      <c r="B55" s="38"/>
      <c r="C55" s="38"/>
      <c r="D55" s="38"/>
      <c r="E55" s="38"/>
      <c r="F55" s="38"/>
      <c r="G55" s="38"/>
      <c r="H55" s="38"/>
      <c r="I55" s="38"/>
      <c r="J55" s="39"/>
    </row>
    <row r="57" spans="1:13" ht="15" thickBot="1" x14ac:dyDescent="0.25">
      <c r="A57" s="55" t="s">
        <v>75</v>
      </c>
      <c r="B57" s="56" t="s">
        <v>76</v>
      </c>
      <c r="C57" s="56" t="s">
        <v>71</v>
      </c>
      <c r="D57" s="57" t="s">
        <v>73</v>
      </c>
      <c r="E57" s="58" t="s">
        <v>10</v>
      </c>
      <c r="F57" s="58" t="s">
        <v>11</v>
      </c>
      <c r="G57" s="58" t="s">
        <v>12</v>
      </c>
      <c r="H57" s="58" t="s">
        <v>13</v>
      </c>
      <c r="I57" s="58" t="s">
        <v>14</v>
      </c>
      <c r="J57" s="58" t="s">
        <v>15</v>
      </c>
      <c r="K57" s="58" t="s">
        <v>16</v>
      </c>
      <c r="L57" s="58" t="s">
        <v>17</v>
      </c>
      <c r="M57" s="58" t="s">
        <v>18</v>
      </c>
    </row>
    <row r="58" spans="1:13" x14ac:dyDescent="0.15">
      <c r="A58" s="54" t="s">
        <v>77</v>
      </c>
      <c r="B58" s="51">
        <v>0</v>
      </c>
      <c r="C58" s="48">
        <f>B58*B39+(1-B58)*E39</f>
        <v>8.6150414779072332E-3</v>
      </c>
      <c r="D58" s="48">
        <f>(ABS(1-B58))*H39</f>
        <v>3.0444021390206959E-2</v>
      </c>
      <c r="E58" s="48">
        <f>(1-$B58)*B20</f>
        <v>2.1587730232515454E-2</v>
      </c>
      <c r="F58" s="48">
        <f>(1-$B58)*C20</f>
        <v>6.6711142730704123E-2</v>
      </c>
      <c r="G58" s="48">
        <f>(1-$B58)*D20</f>
        <v>0.70659102008455754</v>
      </c>
      <c r="H58" s="48">
        <f>(1-$B58)*E20</f>
        <v>0</v>
      </c>
      <c r="I58" s="48">
        <f>(1-$B58)*F20</f>
        <v>0</v>
      </c>
      <c r="J58" s="48">
        <f>(1-$B58)*G20</f>
        <v>0</v>
      </c>
      <c r="K58" s="48">
        <f>(1-$B58)*H20</f>
        <v>0.11620721139867302</v>
      </c>
      <c r="L58" s="48">
        <f>(1-$B58)*I20</f>
        <v>8.8902895553549577E-2</v>
      </c>
      <c r="M58" s="48">
        <f>(1-$B58)*J20</f>
        <v>0</v>
      </c>
    </row>
    <row r="59" spans="1:13" x14ac:dyDescent="0.15">
      <c r="A59" s="49"/>
      <c r="B59" s="50">
        <v>0.1</v>
      </c>
      <c r="C59" s="48">
        <f>B59*B39+(1-B59)*E39</f>
        <v>7.8035373301165098E-3</v>
      </c>
      <c r="D59" s="48">
        <f>(ABS(1-B59))*H39</f>
        <v>2.7399619251186263E-2</v>
      </c>
      <c r="E59" s="48">
        <f>(1-$B59)*B20</f>
        <v>1.9428957209263908E-2</v>
      </c>
      <c r="F59" s="48">
        <f>(1-$B59)*C20</f>
        <v>6.0040028457633711E-2</v>
      </c>
      <c r="G59" s="48">
        <f>(1-$B59)*D20</f>
        <v>0.63593191807610183</v>
      </c>
      <c r="H59" s="48">
        <f>(1-$B59)*E20</f>
        <v>0</v>
      </c>
      <c r="I59" s="48">
        <f>(1-$B59)*F20</f>
        <v>0</v>
      </c>
      <c r="J59" s="48">
        <f>(1-$B59)*G20</f>
        <v>0</v>
      </c>
      <c r="K59" s="48">
        <f>(1-$B59)*H20</f>
        <v>0.10458649025880572</v>
      </c>
      <c r="L59" s="48">
        <f>(1-$B59)*I20</f>
        <v>8.0012605998194625E-2</v>
      </c>
      <c r="M59" s="48">
        <f>(1-$B59)*J20</f>
        <v>0</v>
      </c>
    </row>
    <row r="60" spans="1:13" x14ac:dyDescent="0.15">
      <c r="A60" s="49"/>
      <c r="B60" s="50">
        <v>0.2</v>
      </c>
      <c r="C60" s="48">
        <f>B60*B39+(1-B60)*E39</f>
        <v>6.9920331823257872E-3</v>
      </c>
      <c r="D60" s="48">
        <f>(ABS(1-B60))*H39</f>
        <v>2.4355217112165567E-2</v>
      </c>
      <c r="E60" s="48">
        <f>(1-$B60)*B20</f>
        <v>1.7270184186012363E-2</v>
      </c>
      <c r="F60" s="48">
        <f>(1-$B60)*C20</f>
        <v>5.3368914184563299E-2</v>
      </c>
      <c r="G60" s="48">
        <f>(1-$B60)*D20</f>
        <v>0.56527281606764601</v>
      </c>
      <c r="H60" s="48">
        <f>(1-$B60)*E20</f>
        <v>0</v>
      </c>
      <c r="I60" s="48">
        <f>(1-$B60)*F20</f>
        <v>0</v>
      </c>
      <c r="J60" s="48">
        <f>(1-$B60)*G20</f>
        <v>0</v>
      </c>
      <c r="K60" s="48">
        <f>(1-$B60)*H20</f>
        <v>9.2965769118938418E-2</v>
      </c>
      <c r="L60" s="48">
        <f>(1-$B60)*I20</f>
        <v>7.1122316442839659E-2</v>
      </c>
      <c r="M60" s="48">
        <f>(1-$B60)*J20</f>
        <v>0</v>
      </c>
    </row>
    <row r="61" spans="1:13" x14ac:dyDescent="0.15">
      <c r="A61" s="49"/>
      <c r="B61" s="50">
        <v>0.3</v>
      </c>
      <c r="C61" s="48">
        <f>B61*B39+(1-B61)*E39</f>
        <v>6.1805290345350629E-3</v>
      </c>
      <c r="D61" s="48">
        <f>(ABS(1-B61))*H39</f>
        <v>2.1310814973144871E-2</v>
      </c>
      <c r="E61" s="48">
        <f>(1-$B61)*B20</f>
        <v>1.5111411162760817E-2</v>
      </c>
      <c r="F61" s="48">
        <f>(1-$B61)*C20</f>
        <v>4.6697799911492886E-2</v>
      </c>
      <c r="G61" s="48">
        <f>(1-$B61)*D20</f>
        <v>0.49461371405919025</v>
      </c>
      <c r="H61" s="48">
        <f>(1-$B61)*E20</f>
        <v>0</v>
      </c>
      <c r="I61" s="48">
        <f>(1-$B61)*F20</f>
        <v>0</v>
      </c>
      <c r="J61" s="48">
        <f>(1-$B61)*G20</f>
        <v>0</v>
      </c>
      <c r="K61" s="48">
        <f>(1-$B61)*H20</f>
        <v>8.1345047979071106E-2</v>
      </c>
      <c r="L61" s="48">
        <f>(1-$B61)*I20</f>
        <v>6.22320268874847E-2</v>
      </c>
      <c r="M61" s="48">
        <f>(1-$B61)*J20</f>
        <v>0</v>
      </c>
    </row>
    <row r="62" spans="1:13" x14ac:dyDescent="0.15">
      <c r="A62" s="49"/>
      <c r="B62" s="50">
        <v>0.4</v>
      </c>
      <c r="C62" s="48">
        <f>B62*B39+(1-B62)*E39</f>
        <v>5.3690248867443394E-3</v>
      </c>
      <c r="D62" s="48">
        <f>(ABS(1-B62))*H39</f>
        <v>1.8266412834124175E-2</v>
      </c>
      <c r="E62" s="48">
        <f>(1-$B62)*B20</f>
        <v>1.2952638139509273E-2</v>
      </c>
      <c r="F62" s="48">
        <f>(1-$B62)*C20</f>
        <v>4.0026685638422474E-2</v>
      </c>
      <c r="G62" s="48">
        <f>(1-$B62)*D20</f>
        <v>0.42395461205073454</v>
      </c>
      <c r="H62" s="48">
        <f>(1-$B62)*E20</f>
        <v>0</v>
      </c>
      <c r="I62" s="48">
        <f>(1-$B62)*F20</f>
        <v>0</v>
      </c>
      <c r="J62" s="48">
        <f>(1-$B62)*G20</f>
        <v>0</v>
      </c>
      <c r="K62" s="48">
        <f>(1-$B62)*H20</f>
        <v>6.9724326839203807E-2</v>
      </c>
      <c r="L62" s="48">
        <f>(1-$B62)*I20</f>
        <v>5.3341737332129747E-2</v>
      </c>
      <c r="M62" s="48">
        <f>(1-$B62)*J20</f>
        <v>0</v>
      </c>
    </row>
    <row r="63" spans="1:13" x14ac:dyDescent="0.15">
      <c r="A63" s="49"/>
      <c r="B63" s="50">
        <v>0.5</v>
      </c>
      <c r="C63" s="48">
        <f>B63*B39+(1-B63)*E39</f>
        <v>4.5575207389536168E-3</v>
      </c>
      <c r="D63" s="48">
        <f>(ABS(1-B63))*H39</f>
        <v>1.5222010695103479E-2</v>
      </c>
      <c r="E63" s="48">
        <f>(1-$B63)*B20</f>
        <v>1.0793865116257727E-2</v>
      </c>
      <c r="F63" s="48">
        <f>(1-$B63)*C20</f>
        <v>3.3355571365352062E-2</v>
      </c>
      <c r="G63" s="48">
        <f>(1-$B63)*D20</f>
        <v>0.35329551004227877</v>
      </c>
      <c r="H63" s="48">
        <f>(1-$B63)*E20</f>
        <v>0</v>
      </c>
      <c r="I63" s="48">
        <f>(1-$B63)*F20</f>
        <v>0</v>
      </c>
      <c r="J63" s="48">
        <f>(1-$B63)*G20</f>
        <v>0</v>
      </c>
      <c r="K63" s="48">
        <f>(1-$B63)*H20</f>
        <v>5.8103605699336508E-2</v>
      </c>
      <c r="L63" s="48">
        <f>(1-$B63)*I20</f>
        <v>4.4451447776774788E-2</v>
      </c>
      <c r="M63" s="48">
        <f>(1-$B63)*J20</f>
        <v>0</v>
      </c>
    </row>
    <row r="64" spans="1:13" x14ac:dyDescent="0.15">
      <c r="A64" s="49"/>
      <c r="B64" s="50">
        <v>0.6</v>
      </c>
      <c r="C64" s="48">
        <f>B64*B39+(1-B64)*E39</f>
        <v>3.7460165911628934E-3</v>
      </c>
      <c r="D64" s="48">
        <f>(ABS(1-B64))*H39</f>
        <v>1.2177608556082783E-2</v>
      </c>
      <c r="E64" s="48">
        <f>(1-$B64)*B20</f>
        <v>8.6350920930061813E-3</v>
      </c>
      <c r="F64" s="48">
        <f>(1-$B64)*C20</f>
        <v>2.6684457092281649E-2</v>
      </c>
      <c r="G64" s="48">
        <f>(1-$B64)*D20</f>
        <v>0.28263640803382301</v>
      </c>
      <c r="H64" s="48">
        <f>(1-$B64)*E20</f>
        <v>0</v>
      </c>
      <c r="I64" s="48">
        <f>(1-$B64)*F20</f>
        <v>0</v>
      </c>
      <c r="J64" s="48">
        <f>(1-$B64)*G20</f>
        <v>0</v>
      </c>
      <c r="K64" s="48">
        <f>(1-$B64)*H20</f>
        <v>4.6482884559469209E-2</v>
      </c>
      <c r="L64" s="48">
        <f>(1-$B64)*I20</f>
        <v>3.5561158221419829E-2</v>
      </c>
      <c r="M64" s="48">
        <f>(1-$B64)*J20</f>
        <v>0</v>
      </c>
    </row>
    <row r="65" spans="1:13" x14ac:dyDescent="0.15">
      <c r="A65" s="49"/>
      <c r="B65" s="50">
        <v>0.7</v>
      </c>
      <c r="C65" s="48">
        <f>B65*B39+(1-B65)*E39</f>
        <v>2.9345124433721704E-3</v>
      </c>
      <c r="D65" s="48">
        <f>(ABS(1-B65))*H39</f>
        <v>9.1332064170620893E-3</v>
      </c>
      <c r="E65" s="48">
        <f>(1-$B65)*B20</f>
        <v>6.4763190697546373E-3</v>
      </c>
      <c r="F65" s="48">
        <f>(1-$B65)*C20</f>
        <v>2.001334281921124E-2</v>
      </c>
      <c r="G65" s="48">
        <f>(1-$B65)*D20</f>
        <v>0.2119773060253673</v>
      </c>
      <c r="H65" s="48">
        <f>(1-$B65)*E20</f>
        <v>0</v>
      </c>
      <c r="I65" s="48">
        <f>(1-$B65)*F20</f>
        <v>0</v>
      </c>
      <c r="J65" s="48">
        <f>(1-$B65)*G20</f>
        <v>0</v>
      </c>
      <c r="K65" s="48">
        <f>(1-$B65)*H20</f>
        <v>3.486216341960191E-2</v>
      </c>
      <c r="L65" s="48">
        <f>(1-$B65)*I20</f>
        <v>2.6670868666064877E-2</v>
      </c>
      <c r="M65" s="48">
        <f>(1-$B65)*J20</f>
        <v>0</v>
      </c>
    </row>
    <row r="66" spans="1:13" x14ac:dyDescent="0.15">
      <c r="A66" s="49"/>
      <c r="B66" s="50">
        <v>0.8</v>
      </c>
      <c r="C66" s="48">
        <f>B66*B39+(1-B66)*E39</f>
        <v>2.1230082955814465E-3</v>
      </c>
      <c r="D66" s="48">
        <f>(ABS(1-B66))*H39</f>
        <v>6.08880427804139E-3</v>
      </c>
      <c r="E66" s="48">
        <f>(1-$B66)*B20</f>
        <v>4.3175460465030898E-3</v>
      </c>
      <c r="F66" s="48">
        <f>(1-$B66)*C20</f>
        <v>1.3342228546140821E-2</v>
      </c>
      <c r="G66" s="48">
        <f>(1-$B66)*D20</f>
        <v>0.14131820401691148</v>
      </c>
      <c r="H66" s="48">
        <f>(1-$B66)*E20</f>
        <v>0</v>
      </c>
      <c r="I66" s="48">
        <f>(1-$B66)*F20</f>
        <v>0</v>
      </c>
      <c r="J66" s="48">
        <f>(1-$B66)*G20</f>
        <v>0</v>
      </c>
      <c r="K66" s="48">
        <f>(1-$B66)*H20</f>
        <v>2.3241442279734598E-2</v>
      </c>
      <c r="L66" s="48">
        <f>(1-$B66)*I20</f>
        <v>1.7780579110709911E-2</v>
      </c>
      <c r="M66" s="48">
        <f>(1-$B66)*J20</f>
        <v>0</v>
      </c>
    </row>
    <row r="67" spans="1:13" x14ac:dyDescent="0.15">
      <c r="A67" s="49"/>
      <c r="B67" s="50">
        <v>0.9</v>
      </c>
      <c r="C67" s="48">
        <f>B67*B39+(1-B67)*E39</f>
        <v>1.3115041477907232E-3</v>
      </c>
      <c r="D67" s="48">
        <f>(ABS(1-B67))*H39</f>
        <v>3.044402139020695E-3</v>
      </c>
      <c r="E67" s="48">
        <f>(1-$B67)*B20</f>
        <v>2.1587730232515449E-3</v>
      </c>
      <c r="F67" s="48">
        <f>(1-$B67)*C20</f>
        <v>6.6711142730704106E-3</v>
      </c>
      <c r="G67" s="48">
        <f>(1-$B67)*D20</f>
        <v>7.0659102008455738E-2</v>
      </c>
      <c r="H67" s="48">
        <f>(1-$B67)*E20</f>
        <v>0</v>
      </c>
      <c r="I67" s="48">
        <f>(1-$B67)*F20</f>
        <v>0</v>
      </c>
      <c r="J67" s="48">
        <f>(1-$B67)*G20</f>
        <v>0</v>
      </c>
      <c r="K67" s="48">
        <f>(1-$B67)*H20</f>
        <v>1.1620721139867299E-2</v>
      </c>
      <c r="L67" s="48">
        <f>(1-$B67)*I20</f>
        <v>8.8902895553549556E-3</v>
      </c>
      <c r="M67" s="48">
        <f>(1-$B67)*J20</f>
        <v>0</v>
      </c>
    </row>
    <row r="68" spans="1:13" ht="14.25" thickBot="1" x14ac:dyDescent="0.2">
      <c r="A68" s="52"/>
      <c r="B68" s="53">
        <v>1</v>
      </c>
      <c r="C68" s="46">
        <f>B68*B39+(1-B68)*E39</f>
        <v>5.0000000000000001E-4</v>
      </c>
      <c r="D68" s="46">
        <f>(ABS(1-B68))*H39</f>
        <v>0</v>
      </c>
      <c r="E68" s="46">
        <f>(1-$B68)*B20</f>
        <v>0</v>
      </c>
      <c r="F68" s="46">
        <f>(1-$B68)*C20</f>
        <v>0</v>
      </c>
      <c r="G68" s="46">
        <f>(1-$B68)*D20</f>
        <v>0</v>
      </c>
      <c r="H68" s="46">
        <f>(1-$B68)*E20</f>
        <v>0</v>
      </c>
      <c r="I68" s="46">
        <f>(1-$B68)*F20</f>
        <v>0</v>
      </c>
      <c r="J68" s="46">
        <f>(1-$B68)*G20</f>
        <v>0</v>
      </c>
      <c r="K68" s="46">
        <f>(1-$B68)*H20</f>
        <v>0</v>
      </c>
      <c r="L68" s="46">
        <f>(1-$B68)*I20</f>
        <v>0</v>
      </c>
      <c r="M68" s="46">
        <f>(1-$B68)*J20</f>
        <v>0</v>
      </c>
    </row>
    <row r="69" spans="1:13" x14ac:dyDescent="0.15">
      <c r="A69" s="54" t="s">
        <v>78</v>
      </c>
      <c r="B69" s="51">
        <v>0</v>
      </c>
      <c r="C69" s="48">
        <f>B69*B39+(1-B69)*E39</f>
        <v>8.6150414779072332E-3</v>
      </c>
      <c r="D69" s="48">
        <f>(ABS(1-B69))*H39</f>
        <v>3.0444021390206959E-2</v>
      </c>
      <c r="E69" s="48">
        <f>(1-$B69)*B20</f>
        <v>2.1587730232515454E-2</v>
      </c>
      <c r="F69" s="48">
        <f>(1-$B69)*C20</f>
        <v>6.6711142730704123E-2</v>
      </c>
      <c r="G69" s="48">
        <f>(1-$B69)*D20</f>
        <v>0.70659102008455754</v>
      </c>
      <c r="H69" s="48">
        <f>(1-$B69)*E20</f>
        <v>0</v>
      </c>
      <c r="I69" s="48">
        <f>(1-$B69)*F20</f>
        <v>0</v>
      </c>
      <c r="J69" s="48">
        <f>(1-$B69)*G20</f>
        <v>0</v>
      </c>
      <c r="K69" s="48">
        <f>(1-$B69)*H20</f>
        <v>0.11620721139867302</v>
      </c>
      <c r="L69" s="48">
        <f>(1-$B69)*I20</f>
        <v>8.8902895553549577E-2</v>
      </c>
      <c r="M69" s="48">
        <f>(1-$B69)*J20</f>
        <v>0</v>
      </c>
    </row>
    <row r="70" spans="1:13" x14ac:dyDescent="0.15">
      <c r="A70" s="49"/>
      <c r="B70" s="50">
        <v>-0.1</v>
      </c>
      <c r="C70" s="48">
        <f>B70*B39+(1-B70)*E39</f>
        <v>9.4265456256979584E-3</v>
      </c>
      <c r="D70" s="48">
        <f>(ABS(1-B70))*H39</f>
        <v>3.3488423529227658E-2</v>
      </c>
      <c r="E70" s="48">
        <f>(1-$B70)*B20</f>
        <v>2.3746503255767E-2</v>
      </c>
      <c r="F70" s="48">
        <f>(1-$B70)*C20</f>
        <v>7.3382257003774543E-2</v>
      </c>
      <c r="G70" s="48">
        <f>(1-$B70)*D20</f>
        <v>0.77725012209301336</v>
      </c>
      <c r="H70" s="48">
        <f>(1-$B70)*E20</f>
        <v>0</v>
      </c>
      <c r="I70" s="48">
        <f>(1-$B70)*F20</f>
        <v>0</v>
      </c>
      <c r="J70" s="48">
        <f>(1-$B70)*G20</f>
        <v>0</v>
      </c>
      <c r="K70" s="48">
        <f>(1-$B70)*H20</f>
        <v>0.12782793253854033</v>
      </c>
      <c r="L70" s="48">
        <f>(1-$B70)*I20</f>
        <v>9.7793185108904543E-2</v>
      </c>
      <c r="M70" s="48">
        <f>(1-$B70)*J20</f>
        <v>0</v>
      </c>
    </row>
    <row r="71" spans="1:13" x14ac:dyDescent="0.15">
      <c r="A71" s="49"/>
      <c r="B71" s="50">
        <v>-0.2</v>
      </c>
      <c r="C71" s="48">
        <f>B71*B39+(1-B71)*E39</f>
        <v>1.023804977348868E-2</v>
      </c>
      <c r="D71" s="48">
        <f>(ABS(1-B71))*H39</f>
        <v>3.653282566824835E-2</v>
      </c>
      <c r="E71" s="48">
        <f>(1-$B71)*B20</f>
        <v>2.5905276279018546E-2</v>
      </c>
      <c r="F71" s="48">
        <f>(1-$B71)*C20</f>
        <v>8.0053371276844948E-2</v>
      </c>
      <c r="G71" s="48">
        <f>(1-$B71)*D20</f>
        <v>0.84790922410146907</v>
      </c>
      <c r="H71" s="48">
        <f>(1-$B71)*E20</f>
        <v>0</v>
      </c>
      <c r="I71" s="48">
        <f>(1-$B71)*F20</f>
        <v>0</v>
      </c>
      <c r="J71" s="48">
        <f>(1-$B71)*G20</f>
        <v>0</v>
      </c>
      <c r="K71" s="48">
        <f>(1-$B71)*H20</f>
        <v>0.13944865367840761</v>
      </c>
      <c r="L71" s="48">
        <f>(1-$B71)*I20</f>
        <v>0.10668347466425949</v>
      </c>
      <c r="M71" s="48">
        <f>(1-$B71)*J20</f>
        <v>0</v>
      </c>
    </row>
    <row r="72" spans="1:13" x14ac:dyDescent="0.15">
      <c r="A72" s="49"/>
      <c r="B72" s="50">
        <v>-0.3</v>
      </c>
      <c r="C72" s="48">
        <f>B72*B39+(1-B72)*E39</f>
        <v>1.1049553921279404E-2</v>
      </c>
      <c r="D72" s="48">
        <f>(ABS(1-B72))*H39</f>
        <v>3.957722780726905E-2</v>
      </c>
      <c r="E72" s="48">
        <f>(1-$B72)*B20</f>
        <v>2.8064049302270092E-2</v>
      </c>
      <c r="F72" s="48">
        <f>(1-$B72)*C20</f>
        <v>8.6724485549915367E-2</v>
      </c>
      <c r="G72" s="48">
        <f>(1-$B72)*D20</f>
        <v>0.91856832610992478</v>
      </c>
      <c r="H72" s="48">
        <f>(1-$B72)*E20</f>
        <v>0</v>
      </c>
      <c r="I72" s="48">
        <f>(1-$B72)*F20</f>
        <v>0</v>
      </c>
      <c r="J72" s="48">
        <f>(1-$B72)*G20</f>
        <v>0</v>
      </c>
      <c r="K72" s="48">
        <f>(1-$B72)*H20</f>
        <v>0.15106937481827493</v>
      </c>
      <c r="L72" s="48">
        <f>(1-$B72)*I20</f>
        <v>0.11557376421961445</v>
      </c>
      <c r="M72" s="48">
        <f>(1-$B72)*J20</f>
        <v>0</v>
      </c>
    </row>
    <row r="73" spans="1:13" x14ac:dyDescent="0.15">
      <c r="A73" s="49"/>
      <c r="B73" s="50">
        <v>-0.4</v>
      </c>
      <c r="C73" s="48">
        <f>B73*B39+(1-B73)*E39</f>
        <v>1.1861058069070125E-2</v>
      </c>
      <c r="D73" s="48">
        <f>(ABS(1-B73))*H39</f>
        <v>4.2621629946289742E-2</v>
      </c>
      <c r="E73" s="48">
        <f>(1-$B73)*B20</f>
        <v>3.0222822325521634E-2</v>
      </c>
      <c r="F73" s="48">
        <f>(1-$B73)*C20</f>
        <v>9.3395599822985773E-2</v>
      </c>
      <c r="G73" s="48">
        <f>(1-$B73)*D20</f>
        <v>0.98922742811838049</v>
      </c>
      <c r="H73" s="48">
        <f>(1-$B73)*E20</f>
        <v>0</v>
      </c>
      <c r="I73" s="48">
        <f>(1-$B73)*F20</f>
        <v>0</v>
      </c>
      <c r="J73" s="48">
        <f>(1-$B73)*G20</f>
        <v>0</v>
      </c>
      <c r="K73" s="48">
        <f>(1-$B73)*H20</f>
        <v>0.16269009595814221</v>
      </c>
      <c r="L73" s="48">
        <f>(1-$B73)*I20</f>
        <v>0.1244640537749694</v>
      </c>
      <c r="M73" s="48">
        <f>(1-$B73)*J20</f>
        <v>0</v>
      </c>
    </row>
    <row r="74" spans="1:13" x14ac:dyDescent="0.15">
      <c r="A74" s="49"/>
      <c r="B74" s="50">
        <v>-0.5</v>
      </c>
      <c r="C74" s="48">
        <f>B74*B39+(1-B74)*E39</f>
        <v>1.2672562216860851E-2</v>
      </c>
      <c r="D74" s="48">
        <f>(ABS(1-B74))*H39</f>
        <v>4.5666032085310435E-2</v>
      </c>
      <c r="E74" s="48">
        <f>(1-$B74)*B20</f>
        <v>3.2381595348773183E-2</v>
      </c>
      <c r="F74" s="48">
        <f>(1-$B74)*C20</f>
        <v>0.10006671409605619</v>
      </c>
      <c r="G74" s="48">
        <f>(1-$B74)*D20</f>
        <v>1.0598865301268363</v>
      </c>
      <c r="H74" s="48">
        <f>(1-$B74)*E20</f>
        <v>0</v>
      </c>
      <c r="I74" s="48">
        <f>(1-$B74)*F20</f>
        <v>0</v>
      </c>
      <c r="J74" s="48">
        <f>(1-$B74)*G20</f>
        <v>0</v>
      </c>
      <c r="K74" s="48">
        <f>(1-$B74)*H20</f>
        <v>0.17431081709800952</v>
      </c>
      <c r="L74" s="48">
        <f>(1-$B74)*I20</f>
        <v>0.13335434333032437</v>
      </c>
      <c r="M74" s="48">
        <f>(1-$B74)*J20</f>
        <v>0</v>
      </c>
    </row>
    <row r="75" spans="1:13" x14ac:dyDescent="0.15">
      <c r="A75" s="49"/>
      <c r="B75" s="50">
        <v>-0.6</v>
      </c>
      <c r="C75" s="48">
        <f>B75*B39+(1-B75)*E39</f>
        <v>1.3484066364651574E-2</v>
      </c>
      <c r="D75" s="48">
        <f>(ABS(1-B75))*H39</f>
        <v>4.8710434224331134E-2</v>
      </c>
      <c r="E75" s="48">
        <f>(1-$B75)*B20</f>
        <v>3.4540368372024725E-2</v>
      </c>
      <c r="F75" s="48">
        <f>(1-$B75)*C20</f>
        <v>0.1067378283691266</v>
      </c>
      <c r="G75" s="48">
        <f>(1-$B75)*D20</f>
        <v>1.130545632135292</v>
      </c>
      <c r="H75" s="48">
        <f>(1-$B75)*E20</f>
        <v>0</v>
      </c>
      <c r="I75" s="48">
        <f>(1-$B75)*F20</f>
        <v>0</v>
      </c>
      <c r="J75" s="48">
        <f>(1-$B75)*G20</f>
        <v>0</v>
      </c>
      <c r="K75" s="48">
        <f>(1-$B75)*H20</f>
        <v>0.18593153823787684</v>
      </c>
      <c r="L75" s="48">
        <f>(1-$B75)*I20</f>
        <v>0.14224463288567932</v>
      </c>
      <c r="M75" s="48">
        <f>(1-$B75)*J20</f>
        <v>0</v>
      </c>
    </row>
    <row r="76" spans="1:13" x14ac:dyDescent="0.15">
      <c r="A76" s="49"/>
      <c r="B76" s="50">
        <v>-0.7</v>
      </c>
      <c r="C76" s="48">
        <f>B76*B39+(1-B76)*E39</f>
        <v>1.4295570512442296E-2</v>
      </c>
      <c r="D76" s="48">
        <f>(ABS(1-B76))*H39</f>
        <v>5.1754836363351826E-2</v>
      </c>
      <c r="E76" s="48">
        <f>(1-$B76)*B20</f>
        <v>3.6699141395276275E-2</v>
      </c>
      <c r="F76" s="48">
        <f>(1-$B76)*C20</f>
        <v>0.113408942642197</v>
      </c>
      <c r="G76" s="48">
        <f>(1-$B76)*D20</f>
        <v>1.2012047341437477</v>
      </c>
      <c r="H76" s="48">
        <f>(1-$B76)*E20</f>
        <v>0</v>
      </c>
      <c r="I76" s="48">
        <f>(1-$B76)*F20</f>
        <v>0</v>
      </c>
      <c r="J76" s="48">
        <f>(1-$B76)*G20</f>
        <v>0</v>
      </c>
      <c r="K76" s="48">
        <f>(1-$B76)*H20</f>
        <v>0.19755225937774412</v>
      </c>
      <c r="L76" s="48">
        <f>(1-$B76)*I20</f>
        <v>0.15113492244103427</v>
      </c>
      <c r="M76" s="48">
        <f>(1-$B76)*J20</f>
        <v>0</v>
      </c>
    </row>
    <row r="77" spans="1:13" x14ac:dyDescent="0.15">
      <c r="A77" s="49"/>
      <c r="B77" s="50">
        <v>-0.8</v>
      </c>
      <c r="C77" s="48">
        <f>B77*B39+(1-B77)*E39</f>
        <v>1.5107074660233021E-2</v>
      </c>
      <c r="D77" s="48">
        <f>(ABS(1-B77))*H39</f>
        <v>5.4799238502372526E-2</v>
      </c>
      <c r="E77" s="48">
        <f>(1-$B77)*B20</f>
        <v>3.8857914418527817E-2</v>
      </c>
      <c r="F77" s="48">
        <f>(1-$B77)*C20</f>
        <v>0.12008005691526742</v>
      </c>
      <c r="G77" s="48">
        <f>(1-$B77)*D20</f>
        <v>1.2718638361522037</v>
      </c>
      <c r="H77" s="48">
        <f>(1-$B77)*E20</f>
        <v>0</v>
      </c>
      <c r="I77" s="48">
        <f>(1-$B77)*F20</f>
        <v>0</v>
      </c>
      <c r="J77" s="48">
        <f>(1-$B77)*G20</f>
        <v>0</v>
      </c>
      <c r="K77" s="48">
        <f>(1-$B77)*H20</f>
        <v>0.20917298051761143</v>
      </c>
      <c r="L77" s="48">
        <f>(1-$B77)*I20</f>
        <v>0.16002521199638925</v>
      </c>
      <c r="M77" s="48">
        <f>(1-$B77)*J20</f>
        <v>0</v>
      </c>
    </row>
    <row r="78" spans="1:13" x14ac:dyDescent="0.15">
      <c r="A78" s="49"/>
      <c r="B78" s="50">
        <v>-0.9</v>
      </c>
      <c r="C78" s="48">
        <f>B78*B39+(1-B78)*E39</f>
        <v>1.5918578808023744E-2</v>
      </c>
      <c r="D78" s="48">
        <f>(ABS(1-B78))*H39</f>
        <v>5.7843640641393218E-2</v>
      </c>
      <c r="E78" s="48">
        <f>(1-$B78)*B20</f>
        <v>4.1016687441779359E-2</v>
      </c>
      <c r="F78" s="48">
        <f>(1-$B78)*C20</f>
        <v>0.12675117118833784</v>
      </c>
      <c r="G78" s="48">
        <f>(1-$B78)*D20</f>
        <v>1.3425229381606594</v>
      </c>
      <c r="H78" s="48">
        <f>(1-$B78)*E20</f>
        <v>0</v>
      </c>
      <c r="I78" s="48">
        <f>(1-$B78)*F20</f>
        <v>0</v>
      </c>
      <c r="J78" s="48">
        <f>(1-$B78)*G20</f>
        <v>0</v>
      </c>
      <c r="K78" s="48">
        <f>(1-$B78)*H20</f>
        <v>0.22079370165747872</v>
      </c>
      <c r="L78" s="48">
        <f>(1-$B78)*I20</f>
        <v>0.1689155015517442</v>
      </c>
      <c r="M78" s="48">
        <f>(1-$B78)*J20</f>
        <v>0</v>
      </c>
    </row>
    <row r="79" spans="1:13" x14ac:dyDescent="0.15">
      <c r="A79" s="49"/>
      <c r="B79" s="50">
        <v>-1</v>
      </c>
      <c r="C79" s="48">
        <f>B79*B39+(1-B79)*E39</f>
        <v>1.6730082955814466E-2</v>
      </c>
      <c r="D79" s="48">
        <f>(ABS(1-B79))*H39</f>
        <v>6.0888042780413917E-2</v>
      </c>
      <c r="E79" s="48">
        <f>(1-$B79)*B20</f>
        <v>4.3175460465030908E-2</v>
      </c>
      <c r="F79" s="48">
        <f>(1-$B79)*C20</f>
        <v>0.13342228546140825</v>
      </c>
      <c r="G79" s="48">
        <f>(1-$B79)*D20</f>
        <v>1.4131820401691151</v>
      </c>
      <c r="H79" s="48">
        <f>(1-$B79)*E20</f>
        <v>0</v>
      </c>
      <c r="I79" s="48">
        <f>(1-$B79)*F20</f>
        <v>0</v>
      </c>
      <c r="J79" s="48">
        <f>(1-$B79)*G20</f>
        <v>0</v>
      </c>
      <c r="K79" s="48">
        <f>(1-$B79)*H20</f>
        <v>0.23241442279734603</v>
      </c>
      <c r="L79" s="48">
        <f>(1-$B79)*I20</f>
        <v>0.17780579110709915</v>
      </c>
      <c r="M79" s="48">
        <f>(1-$B79)*J20</f>
        <v>0</v>
      </c>
    </row>
  </sheetData>
  <mergeCells count="10"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50:B50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_Button1_Click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628650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_Button2_Click">
                <anchor moveWithCells="1">
                  <from>
                    <xdr:col>6</xdr:col>
                    <xdr:colOff>9525</xdr:colOff>
                    <xdr:row>45</xdr:row>
                    <xdr:rowOff>0</xdr:rowOff>
                  </from>
                  <to>
                    <xdr:col>7</xdr:col>
                    <xdr:colOff>542925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_Button3_Click">
                <anchor moveWithCells="1">
                  <from>
                    <xdr:col>6</xdr:col>
                    <xdr:colOff>9525</xdr:colOff>
                    <xdr:row>48</xdr:row>
                    <xdr:rowOff>9525</xdr:rowOff>
                  </from>
                  <to>
                    <xdr:col>7</xdr:col>
                    <xdr:colOff>533400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76"/>
  <sheetViews>
    <sheetView workbookViewId="0">
      <selection activeCell="B2" sqref="B2:J4"/>
    </sheetView>
  </sheetViews>
  <sheetFormatPr defaultRowHeight="13.5" x14ac:dyDescent="0.15"/>
  <cols>
    <col min="1" max="1" width="29.875" bestFit="1" customWidth="1"/>
    <col min="2" max="2" width="11.125" customWidth="1"/>
    <col min="3" max="3" width="9.5" bestFit="1" customWidth="1"/>
    <col min="4" max="7" width="9.125" bestFit="1" customWidth="1"/>
    <col min="8" max="8" width="9.5" bestFit="1" customWidth="1"/>
    <col min="9" max="10" width="9.125" bestFit="1" customWidth="1"/>
  </cols>
  <sheetData>
    <row r="1" spans="1:10" ht="14.25" x14ac:dyDescent="0.2">
      <c r="A1" s="17" t="s">
        <v>37</v>
      </c>
      <c r="B1" s="17" t="s">
        <v>38</v>
      </c>
      <c r="C1" s="17"/>
      <c r="D1" s="17"/>
    </row>
    <row r="2" spans="1:10" ht="15" x14ac:dyDescent="0.25">
      <c r="A2" t="s">
        <v>39</v>
      </c>
      <c r="B2" t="s">
        <v>40</v>
      </c>
    </row>
    <row r="3" spans="1:10" ht="14.25" x14ac:dyDescent="0.2">
      <c r="B3" s="15" t="s">
        <v>10</v>
      </c>
      <c r="C3" s="15" t="s">
        <v>11</v>
      </c>
      <c r="D3" s="15" t="s">
        <v>12</v>
      </c>
      <c r="E3" s="15" t="s">
        <v>13</v>
      </c>
      <c r="F3" s="15" t="s">
        <v>14</v>
      </c>
      <c r="G3" s="15" t="s">
        <v>15</v>
      </c>
      <c r="H3" s="15" t="s">
        <v>16</v>
      </c>
      <c r="I3" s="15" t="s">
        <v>17</v>
      </c>
      <c r="J3" s="15" t="s">
        <v>18</v>
      </c>
    </row>
    <row r="4" spans="1:10" x14ac:dyDescent="0.15">
      <c r="B4" s="19">
        <f>RealizedReturn!C65</f>
        <v>9.202365177589716E-3</v>
      </c>
      <c r="C4" s="19">
        <f>RealizedReturn!D65</f>
        <v>1.2326413674803529E-2</v>
      </c>
      <c r="D4" s="19">
        <f>RealizedReturn!E65</f>
        <v>7.9744754702683641E-3</v>
      </c>
      <c r="E4" s="19">
        <f>RealizedReturn!F65</f>
        <v>3.4793771223500694E-3</v>
      </c>
      <c r="F4" s="19">
        <f>RealizedReturn!G65</f>
        <v>7.2415917786523426E-3</v>
      </c>
      <c r="G4" s="19">
        <f>RealizedReturn!H65</f>
        <v>7.1827806479290712E-3</v>
      </c>
      <c r="H4" s="19">
        <f>RealizedReturn!I65</f>
        <v>1.0922902764380869E-2</v>
      </c>
      <c r="I4" s="19">
        <f>RealizedReturn!J65</f>
        <v>7.7619668834678071E-3</v>
      </c>
      <c r="J4" s="19">
        <f>RealizedReturn!K65</f>
        <v>2.7032334624970144E-3</v>
      </c>
    </row>
    <row r="6" spans="1:10" ht="14.25" x14ac:dyDescent="0.2">
      <c r="A6" t="s">
        <v>41</v>
      </c>
      <c r="B6" t="s">
        <v>42</v>
      </c>
    </row>
    <row r="7" spans="1:10" ht="14.25" x14ac:dyDescent="0.2">
      <c r="B7" s="15" t="s">
        <v>10</v>
      </c>
      <c r="C7" s="15" t="s">
        <v>11</v>
      </c>
      <c r="D7" s="15" t="s">
        <v>12</v>
      </c>
      <c r="E7" s="15" t="s">
        <v>13</v>
      </c>
      <c r="F7" s="15" t="s">
        <v>14</v>
      </c>
      <c r="G7" s="15" t="s">
        <v>15</v>
      </c>
      <c r="H7" s="15" t="s">
        <v>16</v>
      </c>
      <c r="I7" s="15" t="s">
        <v>17</v>
      </c>
      <c r="J7" s="15" t="s">
        <v>18</v>
      </c>
    </row>
    <row r="8" spans="1:10" ht="15" x14ac:dyDescent="0.25">
      <c r="A8" s="16" t="s">
        <v>28</v>
      </c>
      <c r="B8" s="42">
        <f>RealizedReturn!C81</f>
        <v>5.7822820218885419E-3</v>
      </c>
      <c r="C8" s="42">
        <f>RealizedReturn!D81</f>
        <v>3.1123478307913768E-3</v>
      </c>
      <c r="D8" s="42">
        <f>RealizedReturn!E81</f>
        <v>5.1933519599690924E-4</v>
      </c>
      <c r="E8" s="42">
        <f>RealizedReturn!F81</f>
        <v>2.8273142663229997E-3</v>
      </c>
      <c r="F8" s="42">
        <f>RealizedReturn!G81</f>
        <v>2.0798459186755287E-3</v>
      </c>
      <c r="G8" s="42">
        <f>RealizedReturn!H81</f>
        <v>3.3763120827215122E-3</v>
      </c>
      <c r="H8" s="42">
        <f>RealizedReturn!I81</f>
        <v>1.6251700333755332E-3</v>
      </c>
      <c r="I8" s="42">
        <f>RealizedReturn!J81</f>
        <v>1.1885758983456458E-3</v>
      </c>
      <c r="J8" s="42">
        <f>RealizedReturn!K81</f>
        <v>2.1881168205124747E-3</v>
      </c>
    </row>
    <row r="9" spans="1:10" ht="15" x14ac:dyDescent="0.25">
      <c r="A9" s="16" t="s">
        <v>29</v>
      </c>
      <c r="B9" s="42">
        <f>RealizedReturn!C82</f>
        <v>3.1123478307913768E-3</v>
      </c>
      <c r="C9" s="42">
        <f>RealizedReturn!D82</f>
        <v>5.3672624582309413E-3</v>
      </c>
      <c r="D9" s="42">
        <f>RealizedReturn!E82</f>
        <v>8.1853184343508962E-4</v>
      </c>
      <c r="E9" s="42">
        <f>RealizedReturn!F82</f>
        <v>3.5092863208751068E-3</v>
      </c>
      <c r="F9" s="42">
        <f>RealizedReturn!G82</f>
        <v>2.7524729514720489E-3</v>
      </c>
      <c r="G9" s="42">
        <f>RealizedReturn!H82</f>
        <v>5.0041733159919425E-3</v>
      </c>
      <c r="H9" s="42">
        <f>RealizedReturn!I82</f>
        <v>1.7532684499023243E-3</v>
      </c>
      <c r="I9" s="42">
        <f>RealizedReturn!J82</f>
        <v>1.6127928654380724E-3</v>
      </c>
      <c r="J9" s="42">
        <f>RealizedReturn!K82</f>
        <v>3.0319632332703626E-3</v>
      </c>
    </row>
    <row r="10" spans="1:10" ht="15" x14ac:dyDescent="0.25">
      <c r="A10" s="16" t="s">
        <v>30</v>
      </c>
      <c r="B10" s="42">
        <f>RealizedReturn!C83</f>
        <v>5.1933519599690924E-4</v>
      </c>
      <c r="C10" s="42">
        <f>RealizedReturn!D83</f>
        <v>8.1853184343508962E-4</v>
      </c>
      <c r="D10" s="42">
        <f>RealizedReturn!E83</f>
        <v>8.9615787966841501E-4</v>
      </c>
      <c r="E10" s="42">
        <f>RealizedReturn!F83</f>
        <v>6.9069617098431815E-4</v>
      </c>
      <c r="F10" s="42">
        <f>RealizedReturn!G83</f>
        <v>5.7600483440853388E-4</v>
      </c>
      <c r="G10" s="42">
        <f>RealizedReturn!H83</f>
        <v>9.2154874493060169E-4</v>
      </c>
      <c r="H10" s="42">
        <f>RealizedReturn!I83</f>
        <v>9.3971182720479075E-4</v>
      </c>
      <c r="I10" s="42">
        <f>RealizedReturn!J83</f>
        <v>5.1108601334076892E-4</v>
      </c>
      <c r="J10" s="42">
        <f>RealizedReturn!K83</f>
        <v>4.5085324808061294E-4</v>
      </c>
    </row>
    <row r="11" spans="1:10" ht="15" x14ac:dyDescent="0.25">
      <c r="A11" s="16" t="s">
        <v>31</v>
      </c>
      <c r="B11" s="42">
        <f>RealizedReturn!C84</f>
        <v>2.8273142663229997E-3</v>
      </c>
      <c r="C11" s="42">
        <f>RealizedReturn!D84</f>
        <v>3.5092863208751068E-3</v>
      </c>
      <c r="D11" s="42">
        <f>RealizedReturn!E84</f>
        <v>6.9069617098431815E-4</v>
      </c>
      <c r="E11" s="42">
        <f>RealizedReturn!F84</f>
        <v>4.9531954370296682E-3</v>
      </c>
      <c r="F11" s="42">
        <f>RealizedReturn!G84</f>
        <v>2.0698020246465738E-3</v>
      </c>
      <c r="G11" s="42">
        <f>RealizedReturn!H84</f>
        <v>3.9955124933083357E-3</v>
      </c>
      <c r="H11" s="42">
        <f>RealizedReturn!I84</f>
        <v>1.6954838621552506E-3</v>
      </c>
      <c r="I11" s="42">
        <f>RealizedReturn!J84</f>
        <v>8.8061732567353826E-4</v>
      </c>
      <c r="J11" s="42">
        <f>RealizedReturn!K84</f>
        <v>2.5566624840149669E-3</v>
      </c>
    </row>
    <row r="12" spans="1:10" ht="15" x14ac:dyDescent="0.25">
      <c r="A12" s="16" t="s">
        <v>32</v>
      </c>
      <c r="B12" s="42">
        <f>RealizedReturn!C85</f>
        <v>2.0798459186755287E-3</v>
      </c>
      <c r="C12" s="42">
        <f>RealizedReturn!D85</f>
        <v>2.7524729514720489E-3</v>
      </c>
      <c r="D12" s="42">
        <f>RealizedReturn!E85</f>
        <v>5.7600483440853388E-4</v>
      </c>
      <c r="E12" s="42">
        <f>RealizedReturn!F85</f>
        <v>2.0698020246465738E-3</v>
      </c>
      <c r="F12" s="42">
        <f>RealizedReturn!G85</f>
        <v>2.5523287718271837E-3</v>
      </c>
      <c r="G12" s="42">
        <f>RealizedReturn!H85</f>
        <v>3.1061952129375417E-3</v>
      </c>
      <c r="H12" s="42">
        <f>RealizedReturn!I85</f>
        <v>1.0545570435307005E-3</v>
      </c>
      <c r="I12" s="42">
        <f>RealizedReturn!J85</f>
        <v>1.0702296627389085E-3</v>
      </c>
      <c r="J12" s="42">
        <f>RealizedReturn!K85</f>
        <v>2.0043412828511611E-3</v>
      </c>
    </row>
    <row r="13" spans="1:10" ht="15" x14ac:dyDescent="0.25">
      <c r="A13" s="16" t="s">
        <v>33</v>
      </c>
      <c r="B13" s="42">
        <f>RealizedReturn!C86</f>
        <v>3.3763120827215122E-3</v>
      </c>
      <c r="C13" s="42">
        <f>RealizedReturn!D86</f>
        <v>5.0041733159919425E-3</v>
      </c>
      <c r="D13" s="42">
        <f>RealizedReturn!E86</f>
        <v>9.2154874493060169E-4</v>
      </c>
      <c r="E13" s="42">
        <f>RealizedReturn!F86</f>
        <v>3.9955124933083357E-3</v>
      </c>
      <c r="F13" s="42">
        <f>RealizedReturn!G86</f>
        <v>3.1061952129375417E-3</v>
      </c>
      <c r="G13" s="42">
        <f>RealizedReturn!H86</f>
        <v>6.3459198902493371E-3</v>
      </c>
      <c r="H13" s="42">
        <f>RealizedReturn!I86</f>
        <v>2.262421147427288E-3</v>
      </c>
      <c r="I13" s="42">
        <f>RealizedReturn!J86</f>
        <v>1.8719142787774949E-3</v>
      </c>
      <c r="J13" s="42">
        <f>RealizedReturn!K86</f>
        <v>3.3753588143884614E-3</v>
      </c>
    </row>
    <row r="14" spans="1:10" ht="15" x14ac:dyDescent="0.25">
      <c r="A14" s="16" t="s">
        <v>34</v>
      </c>
      <c r="B14" s="42">
        <f>RealizedReturn!C87</f>
        <v>1.6251700333755332E-3</v>
      </c>
      <c r="C14" s="42">
        <f>RealizedReturn!D87</f>
        <v>1.7532684499023243E-3</v>
      </c>
      <c r="D14" s="42">
        <f>RealizedReturn!E87</f>
        <v>9.3971182720479075E-4</v>
      </c>
      <c r="E14" s="42">
        <f>RealizedReturn!F87</f>
        <v>1.6954838621552506E-3</v>
      </c>
      <c r="F14" s="42">
        <f>RealizedReturn!G87</f>
        <v>1.0545570435307005E-3</v>
      </c>
      <c r="G14" s="42">
        <f>RealizedReturn!H87</f>
        <v>2.262421147427288E-3</v>
      </c>
      <c r="H14" s="42">
        <f>RealizedReturn!I87</f>
        <v>2.5479654460959463E-3</v>
      </c>
      <c r="I14" s="42">
        <f>RealizedReturn!J87</f>
        <v>8.8080683446292328E-4</v>
      </c>
      <c r="J14" s="42">
        <f>RealizedReturn!K87</f>
        <v>8.739447231842759E-4</v>
      </c>
    </row>
    <row r="15" spans="1:10" ht="15" x14ac:dyDescent="0.25">
      <c r="A15" s="16" t="s">
        <v>35</v>
      </c>
      <c r="B15" s="42">
        <f>RealizedReturn!C88</f>
        <v>1.1885758983456458E-3</v>
      </c>
      <c r="C15" s="42">
        <f>RealizedReturn!D88</f>
        <v>1.6127928654380724E-3</v>
      </c>
      <c r="D15" s="42">
        <f>RealizedReturn!E88</f>
        <v>5.1108601334076892E-4</v>
      </c>
      <c r="E15" s="42">
        <f>RealizedReturn!F88</f>
        <v>8.8061732567353826E-4</v>
      </c>
      <c r="F15" s="42">
        <f>RealizedReturn!G88</f>
        <v>1.0702296627389085E-3</v>
      </c>
      <c r="G15" s="42">
        <f>RealizedReturn!H88</f>
        <v>1.8719142787774949E-3</v>
      </c>
      <c r="H15" s="42">
        <f>RealizedReturn!I88</f>
        <v>8.8080683446292328E-4</v>
      </c>
      <c r="I15" s="42">
        <f>RealizedReturn!J88</f>
        <v>2.6173473416385221E-3</v>
      </c>
      <c r="J15" s="42">
        <f>RealizedReturn!K88</f>
        <v>1.2820650478130341E-3</v>
      </c>
    </row>
    <row r="16" spans="1:10" ht="15" x14ac:dyDescent="0.25">
      <c r="A16" s="16" t="s">
        <v>36</v>
      </c>
      <c r="B16" s="42">
        <f>RealizedReturn!C89</f>
        <v>2.1881168205124747E-3</v>
      </c>
      <c r="C16" s="42">
        <f>RealizedReturn!D89</f>
        <v>3.0319632332703626E-3</v>
      </c>
      <c r="D16" s="42">
        <f>RealizedReturn!E89</f>
        <v>4.5085324808061294E-4</v>
      </c>
      <c r="E16" s="42">
        <f>RealizedReturn!F89</f>
        <v>2.5566624840149669E-3</v>
      </c>
      <c r="F16" s="42">
        <f>RealizedReturn!G89</f>
        <v>2.0043412828511611E-3</v>
      </c>
      <c r="G16" s="42">
        <f>RealizedReturn!H89</f>
        <v>3.3753588143884614E-3</v>
      </c>
      <c r="H16" s="42">
        <f>RealizedReturn!I89</f>
        <v>8.739447231842759E-4</v>
      </c>
      <c r="I16" s="42">
        <f>RealizedReturn!J89</f>
        <v>1.2820650478130341E-3</v>
      </c>
      <c r="J16" s="42">
        <f>RealizedReturn!K89</f>
        <v>4.1921902698451368E-3</v>
      </c>
    </row>
    <row r="18" spans="1:10" ht="14.25" x14ac:dyDescent="0.2">
      <c r="A18" s="17" t="s">
        <v>43</v>
      </c>
      <c r="B18" s="17" t="s">
        <v>44</v>
      </c>
    </row>
    <row r="19" spans="1:10" ht="14.25" x14ac:dyDescent="0.2">
      <c r="B19" s="15" t="s">
        <v>10</v>
      </c>
      <c r="C19" s="15" t="s">
        <v>11</v>
      </c>
      <c r="D19" s="15" t="s">
        <v>12</v>
      </c>
      <c r="E19" s="15" t="s">
        <v>13</v>
      </c>
      <c r="F19" s="15" t="s">
        <v>14</v>
      </c>
      <c r="G19" s="15" t="s">
        <v>15</v>
      </c>
      <c r="H19" s="15" t="s">
        <v>16</v>
      </c>
      <c r="I19" s="15" t="s">
        <v>17</v>
      </c>
      <c r="J19" s="15" t="s">
        <v>18</v>
      </c>
    </row>
    <row r="20" spans="1:10" x14ac:dyDescent="0.15">
      <c r="B20" s="40">
        <v>0</v>
      </c>
      <c r="C20" s="40">
        <v>0.76743061106408861</v>
      </c>
      <c r="D20" s="40">
        <v>0</v>
      </c>
      <c r="E20" s="40">
        <v>0</v>
      </c>
      <c r="F20" s="40">
        <v>0</v>
      </c>
      <c r="G20" s="40">
        <v>0</v>
      </c>
      <c r="H20" s="40">
        <v>0.23256938893591625</v>
      </c>
      <c r="I20" s="40">
        <v>0</v>
      </c>
      <c r="J20" s="40">
        <v>0</v>
      </c>
    </row>
    <row r="22" spans="1:10" ht="14.25" x14ac:dyDescent="0.2">
      <c r="A22" s="17" t="s">
        <v>45</v>
      </c>
      <c r="B22" s="17" t="s">
        <v>46</v>
      </c>
      <c r="C22" s="17"/>
    </row>
    <row r="23" spans="1:10" ht="15" x14ac:dyDescent="0.25">
      <c r="A23" s="20" t="s">
        <v>47</v>
      </c>
    </row>
    <row r="24" spans="1:10" x14ac:dyDescent="0.15">
      <c r="A24" s="18"/>
      <c r="B24" s="43">
        <f>B20</f>
        <v>0</v>
      </c>
      <c r="C24" s="43">
        <f t="shared" ref="C24:J24" si="0">C20</f>
        <v>0.76743061106408861</v>
      </c>
      <c r="D24" s="43">
        <f t="shared" si="0"/>
        <v>0</v>
      </c>
      <c r="E24" s="43">
        <f t="shared" si="0"/>
        <v>0</v>
      </c>
      <c r="F24" s="43">
        <f t="shared" si="0"/>
        <v>0</v>
      </c>
      <c r="G24" s="43">
        <f t="shared" si="0"/>
        <v>0</v>
      </c>
      <c r="H24" s="43">
        <f t="shared" si="0"/>
        <v>0.23256938893591625</v>
      </c>
      <c r="I24" s="43">
        <f t="shared" si="0"/>
        <v>0</v>
      </c>
      <c r="J24" s="43">
        <f t="shared" si="0"/>
        <v>0</v>
      </c>
    </row>
    <row r="25" spans="1:10" x14ac:dyDescent="0.15">
      <c r="A25" s="19">
        <f>B20</f>
        <v>0</v>
      </c>
      <c r="B25" s="42">
        <f>A25*B24*B8</f>
        <v>0</v>
      </c>
      <c r="C25" s="42">
        <f>A25*C24*C8</f>
        <v>0</v>
      </c>
      <c r="D25" s="42">
        <f>A25*D24*D8</f>
        <v>0</v>
      </c>
      <c r="E25" s="42">
        <f>A25*E24*E8</f>
        <v>0</v>
      </c>
      <c r="F25" s="42">
        <f>A25*F24*F8</f>
        <v>0</v>
      </c>
      <c r="G25" s="42">
        <f>A25*G24*G8</f>
        <v>0</v>
      </c>
      <c r="H25" s="42">
        <f>A25*H24*H8</f>
        <v>0</v>
      </c>
      <c r="I25" s="42">
        <f>A25*I24*I8</f>
        <v>0</v>
      </c>
      <c r="J25" s="42">
        <f>A25*J24*J8</f>
        <v>0</v>
      </c>
    </row>
    <row r="26" spans="1:10" x14ac:dyDescent="0.15">
      <c r="A26" s="19">
        <f>C20</f>
        <v>0.76743061106408861</v>
      </c>
      <c r="B26" s="42">
        <f>A26*B24*B9</f>
        <v>0</v>
      </c>
      <c r="C26" s="42">
        <f>A26*C24*C9</f>
        <v>3.1610478443055501E-3</v>
      </c>
      <c r="D26" s="42">
        <f>A26*D24*D9</f>
        <v>0</v>
      </c>
      <c r="E26" s="42">
        <f>A26*E24*E9</f>
        <v>0</v>
      </c>
      <c r="F26" s="42">
        <f>A26*F24*F9</f>
        <v>0</v>
      </c>
      <c r="G26" s="42">
        <f>A26*G24*G9</f>
        <v>0</v>
      </c>
      <c r="H26" s="42">
        <f>A26*H24*H9</f>
        <v>3.1292487524176124E-4</v>
      </c>
      <c r="I26" s="42">
        <f>A26*I24*I9</f>
        <v>0</v>
      </c>
      <c r="J26" s="42">
        <f>A26*J24*J9</f>
        <v>0</v>
      </c>
    </row>
    <row r="27" spans="1:10" x14ac:dyDescent="0.15">
      <c r="A27" s="19">
        <f>D20</f>
        <v>0</v>
      </c>
      <c r="B27" s="42">
        <f>A27*B24*B10</f>
        <v>0</v>
      </c>
      <c r="C27" s="42">
        <f>A27*C24*C10</f>
        <v>0</v>
      </c>
      <c r="D27" s="42">
        <f>A27*D24*D10</f>
        <v>0</v>
      </c>
      <c r="E27" s="42">
        <f>A27*E24*E10</f>
        <v>0</v>
      </c>
      <c r="F27" s="42">
        <f>A27*F24*F10</f>
        <v>0</v>
      </c>
      <c r="G27" s="42">
        <f>A27*G24*G10</f>
        <v>0</v>
      </c>
      <c r="H27" s="42">
        <f>A27*H24*H10</f>
        <v>0</v>
      </c>
      <c r="I27" s="42">
        <f>A27*I24*I10</f>
        <v>0</v>
      </c>
      <c r="J27" s="42">
        <f>A27*J24*J10</f>
        <v>0</v>
      </c>
    </row>
    <row r="28" spans="1:10" x14ac:dyDescent="0.15">
      <c r="A28" s="19">
        <f>E20</f>
        <v>0</v>
      </c>
      <c r="B28" s="42">
        <f>A28*B24*B11</f>
        <v>0</v>
      </c>
      <c r="C28" s="42">
        <f>A28*C24*C11</f>
        <v>0</v>
      </c>
      <c r="D28" s="42">
        <f>A28*D24*D11</f>
        <v>0</v>
      </c>
      <c r="E28" s="42">
        <f>A28*E24*E11</f>
        <v>0</v>
      </c>
      <c r="F28" s="42">
        <f>A28*F24*F11</f>
        <v>0</v>
      </c>
      <c r="G28" s="42">
        <f>A28*G24*G11</f>
        <v>0</v>
      </c>
      <c r="H28" s="42">
        <f>A28*H24*H11</f>
        <v>0</v>
      </c>
      <c r="I28" s="42">
        <f>A28*I24*I11</f>
        <v>0</v>
      </c>
      <c r="J28" s="42">
        <f>A28*J24*J11</f>
        <v>0</v>
      </c>
    </row>
    <row r="29" spans="1:10" x14ac:dyDescent="0.15">
      <c r="A29" s="19">
        <f>F20</f>
        <v>0</v>
      </c>
      <c r="B29" s="42">
        <f>A29*B24*B12</f>
        <v>0</v>
      </c>
      <c r="C29" s="42">
        <f>A29*C24*C12</f>
        <v>0</v>
      </c>
      <c r="D29" s="42">
        <f>A29*D24*D12</f>
        <v>0</v>
      </c>
      <c r="E29" s="42">
        <f>A29*E24*E12</f>
        <v>0</v>
      </c>
      <c r="F29" s="42">
        <f>A29*F24*F12</f>
        <v>0</v>
      </c>
      <c r="G29" s="42">
        <f>A29*G24*G12</f>
        <v>0</v>
      </c>
      <c r="H29" s="42">
        <f>A29*H24*H12</f>
        <v>0</v>
      </c>
      <c r="I29" s="42">
        <f>A29*I24*I12</f>
        <v>0</v>
      </c>
      <c r="J29" s="42">
        <f>A29*J24*J12</f>
        <v>0</v>
      </c>
    </row>
    <row r="30" spans="1:10" x14ac:dyDescent="0.15">
      <c r="A30" s="19">
        <f>G20</f>
        <v>0</v>
      </c>
      <c r="B30" s="42">
        <f>A30*B24*B13</f>
        <v>0</v>
      </c>
      <c r="C30" s="42">
        <f>A30*C24*C13</f>
        <v>0</v>
      </c>
      <c r="D30" s="42">
        <f>A30*D24*D13</f>
        <v>0</v>
      </c>
      <c r="E30" s="42">
        <f>A30*E24*E13</f>
        <v>0</v>
      </c>
      <c r="F30" s="42">
        <f>A30*F24*F13</f>
        <v>0</v>
      </c>
      <c r="G30" s="42">
        <f>A30*G24*G13</f>
        <v>0</v>
      </c>
      <c r="H30" s="42">
        <f>A30*H24*H13</f>
        <v>0</v>
      </c>
      <c r="I30" s="42">
        <f>A30*I24*I13</f>
        <v>0</v>
      </c>
      <c r="J30" s="42">
        <f>A30*J24*J13</f>
        <v>0</v>
      </c>
    </row>
    <row r="31" spans="1:10" x14ac:dyDescent="0.15">
      <c r="A31" s="19">
        <f>H20</f>
        <v>0.23256938893591625</v>
      </c>
      <c r="B31" s="42">
        <f>A31*B24*B14</f>
        <v>0</v>
      </c>
      <c r="C31" s="42">
        <f>A31*C24*C14</f>
        <v>3.1292487524176124E-4</v>
      </c>
      <c r="D31" s="42">
        <f>A31*D24*D14</f>
        <v>0</v>
      </c>
      <c r="E31" s="42">
        <f>A31*E24*E14</f>
        <v>0</v>
      </c>
      <c r="F31" s="42">
        <f>A31*F24*F14</f>
        <v>0</v>
      </c>
      <c r="G31" s="42">
        <f>A31*G24*G14</f>
        <v>0</v>
      </c>
      <c r="H31" s="42">
        <f>A31*H24*H14</f>
        <v>1.3781568169767127E-4</v>
      </c>
      <c r="I31" s="42">
        <f>A31*I24*I14</f>
        <v>0</v>
      </c>
      <c r="J31" s="42">
        <f>A31*J24*J14</f>
        <v>0</v>
      </c>
    </row>
    <row r="32" spans="1:10" x14ac:dyDescent="0.15">
      <c r="A32" s="19">
        <f>I20</f>
        <v>0</v>
      </c>
      <c r="B32" s="42">
        <f>A32*B24*B15</f>
        <v>0</v>
      </c>
      <c r="C32" s="42">
        <f>A32*C24*C15</f>
        <v>0</v>
      </c>
      <c r="D32" s="42">
        <f>A32*D24*D15</f>
        <v>0</v>
      </c>
      <c r="E32" s="42">
        <f>A32*E24*E15</f>
        <v>0</v>
      </c>
      <c r="F32" s="42">
        <f>A32*F24*F15</f>
        <v>0</v>
      </c>
      <c r="G32" s="42">
        <f>A32*G24*G15</f>
        <v>0</v>
      </c>
      <c r="H32" s="42">
        <f>A32*H24*H15</f>
        <v>0</v>
      </c>
      <c r="I32" s="42">
        <f>A32*I24*I15</f>
        <v>0</v>
      </c>
      <c r="J32" s="42">
        <f>A32*J24*J15</f>
        <v>0</v>
      </c>
    </row>
    <row r="33" spans="1:11" x14ac:dyDescent="0.15">
      <c r="A33" s="19">
        <f>J20</f>
        <v>0</v>
      </c>
      <c r="B33" s="42">
        <f>A33*B24*B16</f>
        <v>0</v>
      </c>
      <c r="C33" s="42">
        <f>A33*C24*C16</f>
        <v>0</v>
      </c>
      <c r="D33" s="42">
        <f>A33*D24*D16</f>
        <v>0</v>
      </c>
      <c r="E33" s="42">
        <f>A33*E24*E16</f>
        <v>0</v>
      </c>
      <c r="F33" s="42">
        <f>A33*F24*F16</f>
        <v>0</v>
      </c>
      <c r="G33" s="42">
        <f>A33*G24*G16</f>
        <v>0</v>
      </c>
      <c r="H33" s="42">
        <f>A33*H24*H16</f>
        <v>0</v>
      </c>
      <c r="I33" s="42">
        <f>A33*I24*I16</f>
        <v>0</v>
      </c>
      <c r="J33" s="42">
        <f>A33*J24*J16</f>
        <v>0</v>
      </c>
    </row>
    <row r="35" spans="1:11" ht="14.25" x14ac:dyDescent="0.2">
      <c r="A35" s="17" t="s">
        <v>49</v>
      </c>
      <c r="B35" s="17" t="s">
        <v>48</v>
      </c>
    </row>
    <row r="36" spans="1:11" ht="14.25" x14ac:dyDescent="0.2">
      <c r="A36" s="21" t="s">
        <v>50</v>
      </c>
      <c r="B36" s="15" t="s">
        <v>10</v>
      </c>
      <c r="C36" s="15" t="s">
        <v>11</v>
      </c>
      <c r="D36" s="15" t="s">
        <v>12</v>
      </c>
      <c r="E36" s="15" t="s">
        <v>13</v>
      </c>
      <c r="F36" s="15" t="s">
        <v>14</v>
      </c>
      <c r="G36" s="15" t="s">
        <v>15</v>
      </c>
      <c r="H36" s="15" t="s">
        <v>16</v>
      </c>
      <c r="I36" s="15" t="s">
        <v>17</v>
      </c>
      <c r="J36" s="15" t="s">
        <v>18</v>
      </c>
    </row>
    <row r="37" spans="1:11" x14ac:dyDescent="0.15">
      <c r="B37" s="18">
        <f>B4*B20</f>
        <v>0</v>
      </c>
      <c r="C37" s="18">
        <f t="shared" ref="C37:J37" si="1">C4*C20</f>
        <v>9.4596671786832103E-3</v>
      </c>
      <c r="D37" s="18">
        <f t="shared" si="1"/>
        <v>0</v>
      </c>
      <c r="E37" s="18">
        <f t="shared" si="1"/>
        <v>0</v>
      </c>
      <c r="F37" s="18">
        <f t="shared" si="1"/>
        <v>0</v>
      </c>
      <c r="G37" s="18">
        <f t="shared" si="1"/>
        <v>0</v>
      </c>
      <c r="H37" s="18">
        <f t="shared" si="1"/>
        <v>2.5403328213184891E-3</v>
      </c>
      <c r="I37" s="18">
        <f t="shared" si="1"/>
        <v>0</v>
      </c>
      <c r="J37" s="18">
        <f t="shared" si="1"/>
        <v>0</v>
      </c>
    </row>
    <row r="38" spans="1:11" ht="14.25" thickBot="1" x14ac:dyDescent="0.2"/>
    <row r="39" spans="1:11" ht="15" thickBot="1" x14ac:dyDescent="0.25">
      <c r="A39" s="22" t="s">
        <v>51</v>
      </c>
      <c r="B39" s="23"/>
      <c r="C39" s="23"/>
      <c r="D39" s="23"/>
      <c r="E39" s="23"/>
      <c r="F39" s="23"/>
      <c r="G39" s="23"/>
      <c r="H39" s="23"/>
      <c r="I39" s="23"/>
      <c r="J39" s="24"/>
    </row>
    <row r="40" spans="1:11" ht="15" thickBot="1" x14ac:dyDescent="0.25">
      <c r="A40" s="25" t="s">
        <v>52</v>
      </c>
      <c r="B40" s="26"/>
      <c r="C40" s="26"/>
      <c r="D40" s="27">
        <f>SUM(B25:J33)</f>
        <v>3.924713276486743E-3</v>
      </c>
      <c r="E40" s="26"/>
      <c r="F40" s="26"/>
      <c r="G40" s="26"/>
      <c r="H40" s="26"/>
      <c r="I40" s="26"/>
      <c r="J40" s="28"/>
    </row>
    <row r="41" spans="1:11" x14ac:dyDescent="0.15">
      <c r="A41" s="29"/>
      <c r="B41" s="26"/>
      <c r="C41" s="26"/>
      <c r="D41" s="26"/>
      <c r="E41" s="26"/>
      <c r="F41" s="26"/>
      <c r="G41" s="26"/>
      <c r="H41" s="26"/>
      <c r="I41" s="26"/>
      <c r="J41" s="28"/>
    </row>
    <row r="42" spans="1:11" ht="14.25" x14ac:dyDescent="0.2">
      <c r="A42" s="30" t="s">
        <v>53</v>
      </c>
      <c r="B42" s="26"/>
      <c r="C42" s="26"/>
      <c r="D42" s="26"/>
      <c r="E42" s="26"/>
      <c r="F42" s="26"/>
      <c r="G42" s="26"/>
      <c r="H42" s="26"/>
      <c r="I42" s="26"/>
      <c r="J42" s="28"/>
      <c r="K42" s="28"/>
    </row>
    <row r="43" spans="1:11" x14ac:dyDescent="0.15">
      <c r="A43" s="64" t="s">
        <v>54</v>
      </c>
      <c r="B43" s="64"/>
      <c r="C43" s="31">
        <f>SUM(B20:J20)</f>
        <v>1.0000000000000049</v>
      </c>
      <c r="D43" s="32" t="s">
        <v>55</v>
      </c>
      <c r="E43" s="33">
        <v>1</v>
      </c>
      <c r="F43" s="26"/>
      <c r="G43" s="26"/>
      <c r="H43" s="26"/>
      <c r="I43" s="26"/>
      <c r="J43" s="28"/>
    </row>
    <row r="44" spans="1:11" x14ac:dyDescent="0.15">
      <c r="A44" s="64" t="s">
        <v>58</v>
      </c>
      <c r="B44" s="64"/>
      <c r="C44" s="31">
        <f>B20</f>
        <v>0</v>
      </c>
      <c r="D44" s="32" t="s">
        <v>56</v>
      </c>
      <c r="E44" s="33">
        <v>0</v>
      </c>
      <c r="F44" s="26"/>
      <c r="G44" s="26"/>
      <c r="H44" s="26"/>
      <c r="I44" s="26"/>
      <c r="J44" s="28"/>
    </row>
    <row r="45" spans="1:11" x14ac:dyDescent="0.15">
      <c r="A45" s="64" t="s">
        <v>59</v>
      </c>
      <c r="B45" s="64"/>
      <c r="C45" s="31">
        <f>C20</f>
        <v>0.76743061106408861</v>
      </c>
      <c r="D45" s="32" t="s">
        <v>56</v>
      </c>
      <c r="E45" s="33">
        <v>0</v>
      </c>
      <c r="F45" s="26"/>
      <c r="G45" s="26"/>
      <c r="H45" s="26"/>
      <c r="I45" s="26"/>
      <c r="J45" s="28"/>
    </row>
    <row r="46" spans="1:11" x14ac:dyDescent="0.15">
      <c r="A46" s="64" t="s">
        <v>60</v>
      </c>
      <c r="B46" s="64"/>
      <c r="C46" s="31">
        <f>D20</f>
        <v>0</v>
      </c>
      <c r="D46" s="32" t="s">
        <v>56</v>
      </c>
      <c r="E46" s="33">
        <v>0</v>
      </c>
      <c r="F46" s="26"/>
      <c r="G46" s="26"/>
      <c r="H46" s="26"/>
      <c r="I46" s="26"/>
      <c r="J46" s="28"/>
    </row>
    <row r="47" spans="1:11" x14ac:dyDescent="0.15">
      <c r="A47" s="64" t="s">
        <v>61</v>
      </c>
      <c r="B47" s="64"/>
      <c r="C47" s="31">
        <f>E20</f>
        <v>0</v>
      </c>
      <c r="D47" s="32" t="s">
        <v>56</v>
      </c>
      <c r="E47" s="33">
        <v>0</v>
      </c>
      <c r="F47" s="26"/>
      <c r="G47" s="26"/>
      <c r="H47" s="26"/>
      <c r="I47" s="26"/>
      <c r="J47" s="28"/>
    </row>
    <row r="48" spans="1:11" x14ac:dyDescent="0.15">
      <c r="A48" s="64" t="s">
        <v>62</v>
      </c>
      <c r="B48" s="64"/>
      <c r="C48" s="31">
        <f>F20</f>
        <v>0</v>
      </c>
      <c r="D48" s="32" t="s">
        <v>56</v>
      </c>
      <c r="E48" s="33">
        <v>0</v>
      </c>
      <c r="F48" s="26"/>
      <c r="G48" s="26"/>
      <c r="H48" s="26"/>
      <c r="I48" s="26"/>
      <c r="J48" s="28"/>
    </row>
    <row r="49" spans="1:12" x14ac:dyDescent="0.15">
      <c r="A49" s="64" t="s">
        <v>63</v>
      </c>
      <c r="B49" s="64"/>
      <c r="C49" s="31">
        <f>G20</f>
        <v>0</v>
      </c>
      <c r="D49" s="32" t="s">
        <v>56</v>
      </c>
      <c r="E49" s="33">
        <v>0</v>
      </c>
      <c r="F49" s="26"/>
      <c r="G49" s="26"/>
      <c r="H49" s="26"/>
      <c r="I49" s="26"/>
      <c r="J49" s="28"/>
    </row>
    <row r="50" spans="1:12" x14ac:dyDescent="0.15">
      <c r="A50" s="64" t="s">
        <v>64</v>
      </c>
      <c r="B50" s="64"/>
      <c r="C50" s="31">
        <f>H20</f>
        <v>0.23256938893591625</v>
      </c>
      <c r="D50" s="32" t="s">
        <v>56</v>
      </c>
      <c r="E50" s="33">
        <v>0</v>
      </c>
      <c r="F50" s="26"/>
      <c r="G50" s="26"/>
      <c r="H50" s="26"/>
      <c r="I50" s="26"/>
      <c r="J50" s="28"/>
    </row>
    <row r="51" spans="1:12" x14ac:dyDescent="0.15">
      <c r="A51" s="64" t="s">
        <v>65</v>
      </c>
      <c r="B51" s="64"/>
      <c r="C51" s="31">
        <f>I20</f>
        <v>0</v>
      </c>
      <c r="D51" s="32" t="s">
        <v>56</v>
      </c>
      <c r="E51" s="33">
        <v>0</v>
      </c>
      <c r="F51" s="26"/>
      <c r="G51" s="26"/>
      <c r="H51" s="26"/>
      <c r="I51" s="26"/>
      <c r="J51" s="28"/>
    </row>
    <row r="52" spans="1:12" ht="14.25" thickBot="1" x14ac:dyDescent="0.2">
      <c r="A52" s="64" t="s">
        <v>66</v>
      </c>
      <c r="B52" s="64"/>
      <c r="C52" s="31">
        <f>J20</f>
        <v>0</v>
      </c>
      <c r="D52" s="32" t="s">
        <v>56</v>
      </c>
      <c r="E52" s="33">
        <v>0</v>
      </c>
      <c r="F52" s="26"/>
      <c r="G52" s="26"/>
      <c r="H52" s="26"/>
      <c r="I52" s="26"/>
      <c r="J52" s="28"/>
    </row>
    <row r="53" spans="1:12" ht="15" thickBot="1" x14ac:dyDescent="0.25">
      <c r="A53" s="64" t="s">
        <v>57</v>
      </c>
      <c r="B53" s="64"/>
      <c r="C53" s="31">
        <f>SUM(B37:J37)</f>
        <v>1.20000000000017E-2</v>
      </c>
      <c r="D53" s="34" t="s">
        <v>55</v>
      </c>
      <c r="E53" s="35">
        <v>1.2E-2</v>
      </c>
      <c r="F53" s="26"/>
      <c r="G53" s="36"/>
      <c r="H53" s="26"/>
      <c r="I53" s="26"/>
      <c r="J53" s="28"/>
    </row>
    <row r="54" spans="1:12" ht="14.25" thickBot="1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9"/>
    </row>
    <row r="56" spans="1:12" x14ac:dyDescent="0.15">
      <c r="A56" s="41" t="s">
        <v>67</v>
      </c>
    </row>
    <row r="57" spans="1:12" ht="14.25" x14ac:dyDescent="0.2">
      <c r="A57" s="15" t="s">
        <v>68</v>
      </c>
      <c r="B57" s="15" t="s">
        <v>69</v>
      </c>
      <c r="C57" s="45" t="s">
        <v>73</v>
      </c>
      <c r="D57" s="15" t="s">
        <v>10</v>
      </c>
      <c r="E57" s="15" t="s">
        <v>11</v>
      </c>
      <c r="F57" s="15" t="s">
        <v>12</v>
      </c>
      <c r="G57" s="15" t="s">
        <v>13</v>
      </c>
      <c r="H57" s="15" t="s">
        <v>14</v>
      </c>
      <c r="I57" s="15" t="s">
        <v>15</v>
      </c>
      <c r="J57" s="15" t="s">
        <v>16</v>
      </c>
      <c r="K57" s="15" t="s">
        <v>17</v>
      </c>
      <c r="L57" s="15" t="s">
        <v>18</v>
      </c>
    </row>
    <row r="58" spans="1:12" x14ac:dyDescent="0.15">
      <c r="A58" s="19">
        <v>3.0000000000000001E-3</v>
      </c>
      <c r="B58" s="19">
        <v>3.4963564104769358E-3</v>
      </c>
      <c r="C58" s="19">
        <v>5.9129995860619976E-2</v>
      </c>
      <c r="D58" s="19">
        <v>0</v>
      </c>
      <c r="E58" s="19">
        <v>0</v>
      </c>
      <c r="F58" s="19">
        <v>1.4493705844960677E-2</v>
      </c>
      <c r="G58" s="19">
        <v>0.28392513622099241</v>
      </c>
      <c r="H58" s="19">
        <v>0</v>
      </c>
      <c r="I58" s="19">
        <v>0</v>
      </c>
      <c r="J58" s="19">
        <v>0</v>
      </c>
      <c r="K58" s="19">
        <v>0</v>
      </c>
      <c r="L58" s="19">
        <v>0.70158115793404707</v>
      </c>
    </row>
    <row r="59" spans="1:12" x14ac:dyDescent="0.15">
      <c r="A59" s="19">
        <v>3.5000000000000001E-3</v>
      </c>
      <c r="B59" s="19">
        <v>2.9327921747478621E-3</v>
      </c>
      <c r="C59" s="19">
        <v>5.4155259899181185E-2</v>
      </c>
      <c r="D59" s="19">
        <v>0</v>
      </c>
      <c r="E59" s="19">
        <v>0</v>
      </c>
      <c r="F59" s="19">
        <v>0.1142723663708262</v>
      </c>
      <c r="G59" s="19">
        <v>0.25048098330812096</v>
      </c>
      <c r="H59" s="19">
        <v>0</v>
      </c>
      <c r="I59" s="19">
        <v>0</v>
      </c>
      <c r="J59" s="19">
        <v>0</v>
      </c>
      <c r="K59" s="19">
        <v>0</v>
      </c>
      <c r="L59" s="19">
        <v>0.63524665241090306</v>
      </c>
    </row>
    <row r="60" spans="1:12" x14ac:dyDescent="0.15">
      <c r="A60" s="19">
        <v>4.0000000000000001E-3</v>
      </c>
      <c r="B60" s="19">
        <v>2.436577746471884E-3</v>
      </c>
      <c r="C60" s="19">
        <v>4.9361703237144117E-2</v>
      </c>
      <c r="D60" s="19">
        <v>0</v>
      </c>
      <c r="E60" s="19">
        <v>0</v>
      </c>
      <c r="F60" s="19">
        <v>0.21405102893523775</v>
      </c>
      <c r="G60" s="19">
        <v>0.2170368359656229</v>
      </c>
      <c r="H60" s="19">
        <v>0</v>
      </c>
      <c r="I60" s="19">
        <v>0</v>
      </c>
      <c r="J60" s="19">
        <v>0</v>
      </c>
      <c r="K60" s="19">
        <v>0</v>
      </c>
      <c r="L60" s="19">
        <v>0.56891213614568503</v>
      </c>
    </row>
    <row r="61" spans="1:12" x14ac:dyDescent="0.15">
      <c r="A61" s="19">
        <v>4.4999999999999997E-3</v>
      </c>
      <c r="B61" s="19">
        <v>2.0077131649002414E-3</v>
      </c>
      <c r="C61" s="19">
        <v>4.4807512371255798E-2</v>
      </c>
      <c r="D61" s="19">
        <v>0</v>
      </c>
      <c r="E61" s="19">
        <v>0</v>
      </c>
      <c r="F61" s="19">
        <v>0.3138296962456143</v>
      </c>
      <c r="G61" s="19">
        <v>0.18359263847792398</v>
      </c>
      <c r="H61" s="19">
        <v>0</v>
      </c>
      <c r="I61" s="19">
        <v>0</v>
      </c>
      <c r="J61" s="19">
        <v>0</v>
      </c>
      <c r="K61" s="19">
        <v>0</v>
      </c>
      <c r="L61" s="19">
        <v>0.50257766293278539</v>
      </c>
    </row>
    <row r="62" spans="1:12" x14ac:dyDescent="0.15">
      <c r="A62" s="19">
        <v>5.0000000000000001E-3</v>
      </c>
      <c r="B62" s="19">
        <v>1.6461984524094165E-3</v>
      </c>
      <c r="C62" s="19">
        <v>4.0573371223123877E-2</v>
      </c>
      <c r="D62" s="19">
        <v>0</v>
      </c>
      <c r="E62" s="19">
        <v>0</v>
      </c>
      <c r="F62" s="19">
        <v>0.41360835606760782</v>
      </c>
      <c r="G62" s="19">
        <v>0.15014849595334009</v>
      </c>
      <c r="H62" s="19">
        <v>0</v>
      </c>
      <c r="I62" s="19">
        <v>0</v>
      </c>
      <c r="J62" s="19">
        <v>0</v>
      </c>
      <c r="K62" s="19">
        <v>0</v>
      </c>
      <c r="L62" s="19">
        <v>0.43624314713261175</v>
      </c>
    </row>
    <row r="63" spans="1:12" x14ac:dyDescent="0.15">
      <c r="A63" s="19">
        <v>5.4999999999999997E-3</v>
      </c>
      <c r="B63" s="19">
        <v>1.3520309952685576E-3</v>
      </c>
      <c r="C63" s="19">
        <v>3.6769974099372951E-2</v>
      </c>
      <c r="D63" s="19">
        <v>0</v>
      </c>
      <c r="E63" s="19">
        <v>0</v>
      </c>
      <c r="F63" s="19">
        <v>0.51338800206018775</v>
      </c>
      <c r="G63" s="19">
        <v>0.11670407155196522</v>
      </c>
      <c r="H63" s="19">
        <v>0</v>
      </c>
      <c r="I63" s="19">
        <v>0</v>
      </c>
      <c r="J63" s="19">
        <v>0</v>
      </c>
      <c r="K63" s="19">
        <v>0</v>
      </c>
      <c r="L63" s="19">
        <v>0.36990792878169176</v>
      </c>
    </row>
    <row r="64" spans="1:12" x14ac:dyDescent="0.15">
      <c r="A64" s="19">
        <v>6.0000000000000001E-3</v>
      </c>
      <c r="B64" s="19">
        <v>1.1251819368350792E-3</v>
      </c>
      <c r="C64" s="19">
        <v>3.3543731707057864E-2</v>
      </c>
      <c r="D64" s="19">
        <v>0</v>
      </c>
      <c r="E64" s="19">
        <v>0</v>
      </c>
      <c r="F64" s="19">
        <v>0.60942620052943641</v>
      </c>
      <c r="G64" s="19">
        <v>8.3701512258514216E-2</v>
      </c>
      <c r="H64" s="19">
        <v>0</v>
      </c>
      <c r="I64" s="19">
        <v>0</v>
      </c>
      <c r="J64" s="19">
        <v>0</v>
      </c>
      <c r="K64" s="19">
        <v>3.8299385972344491E-3</v>
      </c>
      <c r="L64" s="19">
        <v>0.30304235241135874</v>
      </c>
    </row>
    <row r="65" spans="1:12" x14ac:dyDescent="0.15">
      <c r="A65" s="19">
        <v>6.4999999999999997E-3</v>
      </c>
      <c r="B65" s="19">
        <v>9.6194880224131213E-4</v>
      </c>
      <c r="C65" s="19">
        <v>3.1015299486564885E-2</v>
      </c>
      <c r="D65" s="19">
        <v>0</v>
      </c>
      <c r="E65" s="19">
        <v>0</v>
      </c>
      <c r="F65" s="19">
        <v>0.67366930607442166</v>
      </c>
      <c r="G65" s="19">
        <v>5.4450161855381971E-2</v>
      </c>
      <c r="H65" s="19">
        <v>0</v>
      </c>
      <c r="I65" s="19">
        <v>0</v>
      </c>
      <c r="J65" s="19">
        <v>0</v>
      </c>
      <c r="K65" s="19">
        <v>4.0213906309342823E-2</v>
      </c>
      <c r="L65" s="19">
        <v>0.23166662621780879</v>
      </c>
    </row>
    <row r="66" spans="1:12" x14ac:dyDescent="0.15">
      <c r="A66" s="19">
        <v>7.0000000000000001E-3</v>
      </c>
      <c r="B66" s="19">
        <v>8.5983355780271619E-4</v>
      </c>
      <c r="C66" s="19">
        <v>2.9322918644001252E-2</v>
      </c>
      <c r="D66" s="19">
        <v>0</v>
      </c>
      <c r="E66" s="19">
        <v>0</v>
      </c>
      <c r="F66" s="19">
        <v>0.73791416959268796</v>
      </c>
      <c r="G66" s="19">
        <v>2.519837433701537E-2</v>
      </c>
      <c r="H66" s="19">
        <v>0</v>
      </c>
      <c r="I66" s="19">
        <v>0</v>
      </c>
      <c r="J66" s="19">
        <v>0</v>
      </c>
      <c r="K66" s="19">
        <v>7.6598480169231445E-2</v>
      </c>
      <c r="L66" s="19">
        <v>0.16028897934307715</v>
      </c>
    </row>
    <row r="67" spans="1:12" x14ac:dyDescent="0.15">
      <c r="A67" s="19">
        <v>7.4999999999999997E-3</v>
      </c>
      <c r="B67" s="19">
        <v>8.1620537468121235E-4</v>
      </c>
      <c r="C67" s="19">
        <v>2.8569308263960685E-2</v>
      </c>
      <c r="D67" s="19">
        <v>4.2744800500154055E-4</v>
      </c>
      <c r="E67" s="19">
        <v>0</v>
      </c>
      <c r="F67" s="19">
        <v>0.77694341605915607</v>
      </c>
      <c r="G67" s="19">
        <v>0</v>
      </c>
      <c r="H67" s="19">
        <v>3.9456367207522096E-2</v>
      </c>
      <c r="I67" s="19">
        <v>0</v>
      </c>
      <c r="J67" s="19">
        <v>0</v>
      </c>
      <c r="K67" s="19">
        <v>0.10268669192301318</v>
      </c>
      <c r="L67" s="19">
        <v>8.0486074874246846E-2</v>
      </c>
    </row>
    <row r="68" spans="1:12" x14ac:dyDescent="0.15">
      <c r="A68" s="19">
        <v>8.0000000000000002E-3</v>
      </c>
      <c r="B68" s="19">
        <v>8.2429924524860334E-4</v>
      </c>
      <c r="C68" s="19">
        <v>2.8710612066770769E-2</v>
      </c>
      <c r="D68" s="19">
        <v>4.0807821123713138E-2</v>
      </c>
      <c r="E68" s="19">
        <v>0</v>
      </c>
      <c r="F68" s="19">
        <v>0.79010296414786996</v>
      </c>
      <c r="G68" s="19">
        <v>0</v>
      </c>
      <c r="H68" s="19">
        <v>4.213602028390364E-2</v>
      </c>
      <c r="I68" s="19">
        <v>0</v>
      </c>
      <c r="J68" s="19">
        <v>1.0527413659675236E-2</v>
      </c>
      <c r="K68" s="19">
        <v>0.116425783204945</v>
      </c>
      <c r="L68" s="19">
        <v>0</v>
      </c>
    </row>
    <row r="69" spans="1:12" x14ac:dyDescent="0.15">
      <c r="A69" s="19">
        <v>8.5000000000000006E-3</v>
      </c>
      <c r="B69" s="19">
        <v>9.0199599120119572E-4</v>
      </c>
      <c r="C69" s="19">
        <v>3.0033248096088372E-2</v>
      </c>
      <c r="D69" s="19">
        <v>2.774046180868087E-2</v>
      </c>
      <c r="E69" s="19">
        <v>5.3721512800241622E-2</v>
      </c>
      <c r="F69" s="19">
        <v>0.72783356481862826</v>
      </c>
      <c r="G69" s="19">
        <v>0</v>
      </c>
      <c r="H69" s="19">
        <v>0</v>
      </c>
      <c r="I69" s="19">
        <v>0</v>
      </c>
      <c r="J69" s="19">
        <v>9.4337867497609543E-2</v>
      </c>
      <c r="K69" s="19">
        <v>9.6366594738029374E-2</v>
      </c>
      <c r="L69" s="19">
        <v>0</v>
      </c>
    </row>
    <row r="70" spans="1:12" x14ac:dyDescent="0.15">
      <c r="A70" s="19">
        <v>8.9999999999999993E-3</v>
      </c>
      <c r="B70" s="19">
        <v>1.0308596288146139E-3</v>
      </c>
      <c r="C70" s="19">
        <v>3.2107002800239919E-2</v>
      </c>
      <c r="D70" s="19">
        <v>8.5227845216249325E-4</v>
      </c>
      <c r="E70" s="19">
        <v>0.11018134626107363</v>
      </c>
      <c r="F70" s="19">
        <v>0.63552764043941945</v>
      </c>
      <c r="G70" s="19">
        <v>0</v>
      </c>
      <c r="H70" s="19">
        <v>0</v>
      </c>
      <c r="I70" s="19">
        <v>0</v>
      </c>
      <c r="J70" s="19">
        <v>0.18944817105720038</v>
      </c>
      <c r="K70" s="19">
        <v>6.3990564045834974E-2</v>
      </c>
      <c r="L70" s="19">
        <v>0</v>
      </c>
    </row>
    <row r="71" spans="1:12" x14ac:dyDescent="0.15">
      <c r="A71" s="19">
        <v>9.4999999999999998E-3</v>
      </c>
      <c r="B71" s="19">
        <v>1.2170101936921217E-3</v>
      </c>
      <c r="C71" s="19">
        <v>3.4885673186741309E-2</v>
      </c>
      <c r="D71" s="19">
        <v>8.4086665655936288E-4</v>
      </c>
      <c r="E71" s="19">
        <v>0.15913685590135834</v>
      </c>
      <c r="F71" s="19">
        <v>0.5328364685886493</v>
      </c>
      <c r="G71" s="19">
        <v>0</v>
      </c>
      <c r="H71" s="19">
        <v>0</v>
      </c>
      <c r="I71" s="19">
        <v>0</v>
      </c>
      <c r="J71" s="19">
        <v>0.28384565002241602</v>
      </c>
      <c r="K71" s="19">
        <v>2.3340158238172523E-2</v>
      </c>
      <c r="L71" s="19">
        <v>0</v>
      </c>
    </row>
    <row r="72" spans="1:12" x14ac:dyDescent="0.15">
      <c r="A72" s="19">
        <v>0.01</v>
      </c>
      <c r="B72" s="19">
        <v>1.4638853435580629E-3</v>
      </c>
      <c r="C72" s="19">
        <v>3.8260754613024334E-2</v>
      </c>
      <c r="D72" s="19">
        <v>0</v>
      </c>
      <c r="E72" s="19">
        <v>0.20655058299073448</v>
      </c>
      <c r="F72" s="19">
        <v>0.4113375100461435</v>
      </c>
      <c r="G72" s="19">
        <v>0</v>
      </c>
      <c r="H72" s="19">
        <v>0</v>
      </c>
      <c r="I72" s="19">
        <v>0</v>
      </c>
      <c r="J72" s="19">
        <v>0.38211190575517573</v>
      </c>
      <c r="K72" s="19">
        <v>0</v>
      </c>
      <c r="L72" s="19">
        <v>0</v>
      </c>
    </row>
    <row r="73" spans="1:12" x14ac:dyDescent="0.15">
      <c r="A73" s="19">
        <v>1.0500000000000001E-2</v>
      </c>
      <c r="B73" s="19">
        <v>1.7781644892086068E-3</v>
      </c>
      <c r="C73" s="19">
        <v>4.216828771966686E-2</v>
      </c>
      <c r="D73" s="19">
        <v>0</v>
      </c>
      <c r="E73" s="19">
        <v>0.25104464608248045</v>
      </c>
      <c r="F73" s="19">
        <v>0.26293565580155331</v>
      </c>
      <c r="G73" s="19">
        <v>0</v>
      </c>
      <c r="H73" s="19">
        <v>0</v>
      </c>
      <c r="I73" s="19">
        <v>0</v>
      </c>
      <c r="J73" s="19">
        <v>0.48601969811585732</v>
      </c>
      <c r="K73" s="19">
        <v>0</v>
      </c>
      <c r="L73" s="19">
        <v>0</v>
      </c>
    </row>
    <row r="74" spans="1:12" x14ac:dyDescent="0.15">
      <c r="A74" s="19">
        <v>1.0999999999999999E-2</v>
      </c>
      <c r="B74" s="19">
        <v>2.1610385182441088E-3</v>
      </c>
      <c r="C74" s="19">
        <v>4.6486971489269002E-2</v>
      </c>
      <c r="D74" s="19">
        <v>0</v>
      </c>
      <c r="E74" s="19">
        <v>0.29556158885347839</v>
      </c>
      <c r="F74" s="19">
        <v>0.11454113979176687</v>
      </c>
      <c r="G74" s="19">
        <v>0</v>
      </c>
      <c r="H74" s="19">
        <v>0</v>
      </c>
      <c r="I74" s="19">
        <v>0</v>
      </c>
      <c r="J74" s="19">
        <v>0.58989727519166646</v>
      </c>
      <c r="K74" s="19">
        <v>0</v>
      </c>
      <c r="L74" s="19">
        <v>0</v>
      </c>
    </row>
    <row r="75" spans="1:12" x14ac:dyDescent="0.15">
      <c r="A75" s="19">
        <v>1.15E-2</v>
      </c>
      <c r="B75" s="19">
        <v>2.6398138158340795E-3</v>
      </c>
      <c r="C75" s="19">
        <v>5.137911848050801E-2</v>
      </c>
      <c r="D75" s="19">
        <v>0</v>
      </c>
      <c r="E75" s="19">
        <v>0.41118120970365774</v>
      </c>
      <c r="F75" s="19">
        <v>0</v>
      </c>
      <c r="G75" s="19">
        <v>0</v>
      </c>
      <c r="H75" s="19">
        <v>0</v>
      </c>
      <c r="I75" s="19">
        <v>0</v>
      </c>
      <c r="J75" s="19">
        <v>0.58881878634834317</v>
      </c>
      <c r="K75" s="19">
        <v>0</v>
      </c>
      <c r="L75" s="19">
        <v>0</v>
      </c>
    </row>
    <row r="76" spans="1:12" x14ac:dyDescent="0.15">
      <c r="A76" s="19">
        <v>1.2E-2</v>
      </c>
      <c r="B76" s="19">
        <v>3.924713276486743E-3</v>
      </c>
      <c r="C76" s="19">
        <v>6.2647532086162361E-2</v>
      </c>
      <c r="D76" s="19">
        <v>0</v>
      </c>
      <c r="E76" s="19">
        <v>0.76743061106408861</v>
      </c>
      <c r="F76" s="19">
        <v>0</v>
      </c>
      <c r="G76" s="19">
        <v>0</v>
      </c>
      <c r="H76" s="19">
        <v>0</v>
      </c>
      <c r="I76" s="19">
        <v>0</v>
      </c>
      <c r="J76" s="19">
        <v>0.23256938893591625</v>
      </c>
      <c r="K76" s="19">
        <v>0</v>
      </c>
      <c r="L76" s="19">
        <v>0</v>
      </c>
    </row>
  </sheetData>
  <mergeCells count="11">
    <mergeCell ref="A43:B43"/>
    <mergeCell ref="A44:B44"/>
    <mergeCell ref="A45:B45"/>
    <mergeCell ref="A46:B46"/>
    <mergeCell ref="A47:B47"/>
    <mergeCell ref="A53:B53"/>
    <mergeCell ref="A48:B48"/>
    <mergeCell ref="A49:B49"/>
    <mergeCell ref="A50:B50"/>
    <mergeCell ref="A51:B51"/>
    <mergeCell ref="A52:B5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VF_Button1_Click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628650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VF_Button2_Click">
                <anchor moveWithCells="1">
                  <from>
                    <xdr:col>6</xdr:col>
                    <xdr:colOff>9525</xdr:colOff>
                    <xdr:row>43</xdr:row>
                    <xdr:rowOff>0</xdr:rowOff>
                  </from>
                  <to>
                    <xdr:col>7</xdr:col>
                    <xdr:colOff>542925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VF_Button3_Click">
                <anchor moveWithCells="1">
                  <from>
                    <xdr:col>6</xdr:col>
                    <xdr:colOff>9525</xdr:colOff>
                    <xdr:row>46</xdr:row>
                    <xdr:rowOff>9525</xdr:rowOff>
                  </from>
                  <to>
                    <xdr:col>7</xdr:col>
                    <xdr:colOff>533400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9"/>
  <sheetViews>
    <sheetView zoomScale="90" zoomScaleNormal="90" workbookViewId="0">
      <pane ySplit="1" topLeftCell="A67" activePane="bottomLeft" state="frozen"/>
      <selection pane="bottomLeft" activeCell="C65" sqref="C65"/>
    </sheetView>
  </sheetViews>
  <sheetFormatPr defaultColWidth="19.5" defaultRowHeight="14.25" x14ac:dyDescent="0.2"/>
  <cols>
    <col min="1" max="1" width="23.625" style="1" bestFit="1" customWidth="1"/>
    <col min="2" max="2" width="16.875" style="7" bestFit="1" customWidth="1"/>
    <col min="3" max="3" width="15.375" style="7" bestFit="1" customWidth="1"/>
    <col min="4" max="4" width="15.625" style="7" bestFit="1" customWidth="1"/>
    <col min="5" max="5" width="19.875" style="7" bestFit="1" customWidth="1"/>
    <col min="6" max="6" width="20.125" style="7" bestFit="1" customWidth="1"/>
    <col min="7" max="7" width="18.375" style="7" bestFit="1" customWidth="1"/>
    <col min="8" max="8" width="21.5" style="7" bestFit="1" customWidth="1"/>
    <col min="9" max="9" width="16.5" style="7" bestFit="1" customWidth="1"/>
    <col min="10" max="11" width="21.375" style="7" bestFit="1" customWidth="1"/>
    <col min="12" max="16384" width="19.5" style="7"/>
  </cols>
  <sheetData>
    <row r="1" spans="1:11" ht="39.75" customHeight="1" x14ac:dyDescent="0.2">
      <c r="A1" s="5"/>
      <c r="B1" s="11" t="s">
        <v>23</v>
      </c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  <c r="H1" s="6" t="s">
        <v>15</v>
      </c>
      <c r="I1" s="6" t="s">
        <v>16</v>
      </c>
      <c r="J1" s="6" t="s">
        <v>17</v>
      </c>
      <c r="K1" s="6" t="s">
        <v>18</v>
      </c>
    </row>
    <row r="2" spans="1:11" ht="38.25" x14ac:dyDescent="0.2">
      <c r="A2" s="3" t="s">
        <v>0</v>
      </c>
      <c r="B2" s="4" t="s">
        <v>19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</row>
    <row r="3" spans="1:11" x14ac:dyDescent="0.2">
      <c r="A3" s="1">
        <v>40147</v>
      </c>
      <c r="B3" s="4" t="s">
        <v>24</v>
      </c>
      <c r="C3" s="7" t="s">
        <v>21</v>
      </c>
      <c r="D3" s="7" t="s">
        <v>21</v>
      </c>
      <c r="E3" s="7" t="s">
        <v>21</v>
      </c>
      <c r="F3" s="7" t="s">
        <v>21</v>
      </c>
      <c r="G3" s="7" t="s">
        <v>21</v>
      </c>
      <c r="H3" s="7" t="s">
        <v>21</v>
      </c>
      <c r="I3" s="7" t="s">
        <v>21</v>
      </c>
      <c r="J3" s="7" t="s">
        <v>21</v>
      </c>
    </row>
    <row r="4" spans="1:11" x14ac:dyDescent="0.2">
      <c r="A4" s="1">
        <v>40178</v>
      </c>
      <c r="B4" s="8">
        <f>(MonthlyData!B4-MonthlyData!B3)/MonthlyData!B3</f>
        <v>2.5011542398777728E-3</v>
      </c>
      <c r="C4" s="8">
        <f>(MonthlyData!C4-MonthlyData!C3)/MonthlyData!C3</f>
        <v>9.3663396000299784E-2</v>
      </c>
      <c r="D4" s="8">
        <f>(MonthlyData!D4-MonthlyData!D3)/MonthlyData!D3</f>
        <v>2.9773927256610148E-2</v>
      </c>
      <c r="E4" s="8">
        <f>(MonthlyData!E4-MonthlyData!E3)/MonthlyData!E3</f>
        <v>8.0782134819052179E-3</v>
      </c>
      <c r="F4" s="8">
        <f>(MonthlyData!F4-MonthlyData!F3)/MonthlyData!F3</f>
        <v>1.8445408006861147E-2</v>
      </c>
      <c r="G4" s="8">
        <f>(MonthlyData!G4-MonthlyData!G3)/MonthlyData!G3</f>
        <v>1.1463838514043164E-2</v>
      </c>
      <c r="H4" s="8">
        <f>(MonthlyData!H4-MonthlyData!H3)/MonthlyData!H3</f>
        <v>6.7640669388144892E-2</v>
      </c>
      <c r="I4" s="8">
        <f>(MonthlyData!I4-MonthlyData!I3)/MonthlyData!I3</f>
        <v>5.9783023380408036E-2</v>
      </c>
      <c r="J4" s="8">
        <f>(MonthlyData!J4-MonthlyData!J3)/MonthlyData!J3</f>
        <v>2.6586760745237911E-2</v>
      </c>
      <c r="K4" s="8">
        <f>(MonthlyData!K4-MonthlyData!K3)/MonthlyData!K3</f>
        <v>-1.1763663153771841E-2</v>
      </c>
    </row>
    <row r="5" spans="1:11" x14ac:dyDescent="0.2">
      <c r="A5" s="1">
        <v>40207</v>
      </c>
      <c r="B5" s="8">
        <f>(MonthlyData!B5-MonthlyData!B4)/MonthlyData!B4</f>
        <v>-8.0032373273213178E-2</v>
      </c>
      <c r="C5" s="8">
        <f>(MonthlyData!C5-MonthlyData!C4)/MonthlyData!C4</f>
        <v>-0.11601547786186367</v>
      </c>
      <c r="D5" s="8">
        <f>(MonthlyData!D5-MonthlyData!D4)/MonthlyData!D4</f>
        <v>-8.2252961022180771E-2</v>
      </c>
      <c r="E5" s="8">
        <f>(MonthlyData!E5-MonthlyData!E4)/MonthlyData!E4</f>
        <v>9.5292872112055966E-4</v>
      </c>
      <c r="F5" s="8">
        <f>(MonthlyData!F5-MonthlyData!F4)/MonthlyData!F4</f>
        <v>-9.4437064430565987E-2</v>
      </c>
      <c r="G5" s="8">
        <f>(MonthlyData!G5-MonthlyData!G4)/MonthlyData!G4</f>
        <v>-4.8822974627164284E-2</v>
      </c>
      <c r="H5" s="8">
        <f>(MonthlyData!H5-MonthlyData!H4)/MonthlyData!H4</f>
        <v>-0.15839042627408201</v>
      </c>
      <c r="I5" s="8">
        <f>(MonthlyData!I5-MonthlyData!I4)/MonthlyData!I4</f>
        <v>-0.12923131948653988</v>
      </c>
      <c r="J5" s="8">
        <f>(MonthlyData!J5-MonthlyData!J4)/MonthlyData!J4</f>
        <v>-5.776755767862591E-2</v>
      </c>
      <c r="K5" s="8">
        <f>(MonthlyData!K5-MonthlyData!K4)/MonthlyData!K4</f>
        <v>-6.2624225274886661E-2</v>
      </c>
    </row>
    <row r="6" spans="1:11" x14ac:dyDescent="0.2">
      <c r="A6" s="1">
        <v>40235</v>
      </c>
      <c r="B6" s="8">
        <f>(MonthlyData!B6-MonthlyData!B5)/MonthlyData!B5</f>
        <v>2.425798310910016E-2</v>
      </c>
      <c r="C6" s="8">
        <f>(MonthlyData!C6-MonthlyData!C5)/MonthlyData!C5</f>
        <v>0.12655432887855905</v>
      </c>
      <c r="D6" s="8">
        <f>(MonthlyData!D6-MonthlyData!D5)/MonthlyData!D5</f>
        <v>2.8788591500096938E-2</v>
      </c>
      <c r="E6" s="8">
        <f>(MonthlyData!E6-MonthlyData!E5)/MonthlyData!E5</f>
        <v>2.1904986554701123E-2</v>
      </c>
      <c r="F6" s="8">
        <f>(MonthlyData!F6-MonthlyData!F5)/MonthlyData!F5</f>
        <v>0.12149002997755411</v>
      </c>
      <c r="G6" s="8">
        <f>(MonthlyData!G6-MonthlyData!G5)/MonthlyData!G5</f>
        <v>4.0329981423891881E-2</v>
      </c>
      <c r="H6" s="8">
        <f>(MonthlyData!H6-MonthlyData!H5)/MonthlyData!H5</f>
        <v>6.7141708378942414E-2</v>
      </c>
      <c r="I6" s="8">
        <f>(MonthlyData!I6-MonthlyData!I5)/MonthlyData!I5</f>
        <v>2.9446699704297256E-2</v>
      </c>
      <c r="J6" s="8">
        <f>(MonthlyData!J6-MonthlyData!J5)/MonthlyData!J5</f>
        <v>-1.9025146632508615E-2</v>
      </c>
      <c r="K6" s="8">
        <f>(MonthlyData!K6-MonthlyData!K5)/MonthlyData!K5</f>
        <v>2.9438566071633754E-2</v>
      </c>
    </row>
    <row r="7" spans="1:11" x14ac:dyDescent="0.2">
      <c r="A7" s="1">
        <v>40268</v>
      </c>
      <c r="B7" s="8">
        <f>(MonthlyData!B7-MonthlyData!B6)/MonthlyData!B6</f>
        <v>3.3123764219323636E-2</v>
      </c>
      <c r="C7" s="8">
        <f>(MonthlyData!C7-MonthlyData!C6)/MonthlyData!C6</f>
        <v>0.13453338835018225</v>
      </c>
      <c r="D7" s="8">
        <f>(MonthlyData!D7-MonthlyData!D6)/MonthlyData!D6</f>
        <v>5.5966456831797622E-2</v>
      </c>
      <c r="E7" s="8">
        <f>(MonthlyData!E7-MonthlyData!E6)/MonthlyData!E6</f>
        <v>3.4482663106403598E-2</v>
      </c>
      <c r="F7" s="8">
        <f>(MonthlyData!F7-MonthlyData!F6)/MonthlyData!F6</f>
        <v>5.5057777473209925E-2</v>
      </c>
      <c r="G7" s="8">
        <f>(MonthlyData!G7-MonthlyData!G6)/MonthlyData!G6</f>
        <v>-3.0215022248274777E-2</v>
      </c>
      <c r="H7" s="8">
        <f>(MonthlyData!H7-MonthlyData!H6)/MonthlyData!H6</f>
        <v>4.2898708524139031E-2</v>
      </c>
      <c r="I7" s="8">
        <f>(MonthlyData!I7-MonthlyData!I6)/MonthlyData!I6</f>
        <v>0.10755083129012105</v>
      </c>
      <c r="J7" s="8">
        <f>(MonthlyData!J7-MonthlyData!J6)/MonthlyData!J6</f>
        <v>1.0989086510707322E-2</v>
      </c>
      <c r="K7" s="8">
        <f>(MonthlyData!K7-MonthlyData!K6)/MonthlyData!K6</f>
        <v>-7.5966644533590033E-2</v>
      </c>
    </row>
    <row r="8" spans="1:11" x14ac:dyDescent="0.2">
      <c r="A8" s="1">
        <v>40298</v>
      </c>
      <c r="B8" s="8">
        <f>(MonthlyData!B8-MonthlyData!B7)/MonthlyData!B7</f>
        <v>-3.6228772908570976E-3</v>
      </c>
      <c r="C8" s="8">
        <f>(MonthlyData!C8-MonthlyData!C7)/MonthlyData!C7</f>
        <v>4.8947551864705003E-3</v>
      </c>
      <c r="D8" s="8">
        <f>(MonthlyData!D8-MonthlyData!D7)/MonthlyData!D7</f>
        <v>-2.9500182082112227E-2</v>
      </c>
      <c r="E8" s="8">
        <f>(MonthlyData!E8-MonthlyData!E7)/MonthlyData!E7</f>
        <v>-1.8274511273968048E-3</v>
      </c>
      <c r="F8" s="8">
        <f>(MonthlyData!F8-MonthlyData!F7)/MonthlyData!F7</f>
        <v>-6.5533801256002958E-2</v>
      </c>
      <c r="G8" s="8">
        <f>(MonthlyData!G8-MonthlyData!G7)/MonthlyData!G7</f>
        <v>-1.1090587744522935E-2</v>
      </c>
      <c r="H8" s="8">
        <f>(MonthlyData!H8-MonthlyData!H7)/MonthlyData!H7</f>
        <v>-7.6653377577247855E-2</v>
      </c>
      <c r="I8" s="8">
        <f>(MonthlyData!I8-MonthlyData!I7)/MonthlyData!I7</f>
        <v>-1.8594358219383104E-2</v>
      </c>
      <c r="J8" s="8">
        <f>(MonthlyData!J8-MonthlyData!J7)/MonthlyData!J7</f>
        <v>-6.5258621275669478E-3</v>
      </c>
      <c r="K8" s="8">
        <f>(MonthlyData!K8-MonthlyData!K7)/MonthlyData!K7</f>
        <v>2.6200075459731163E-2</v>
      </c>
    </row>
    <row r="9" spans="1:11" x14ac:dyDescent="0.2">
      <c r="A9" s="1">
        <v>40329</v>
      </c>
      <c r="B9" s="8">
        <f>(MonthlyData!B9-MonthlyData!B8)/MonthlyData!B8</f>
        <v>-5.2228529695842789E-2</v>
      </c>
      <c r="C9" s="8">
        <f>(MonthlyData!C9-MonthlyData!C8)/MonthlyData!C8</f>
        <v>-5.6188925081433208E-2</v>
      </c>
      <c r="D9" s="8">
        <f>(MonthlyData!D9-MonthlyData!D8)/MonthlyData!D8</f>
        <v>-6.3783198314490058E-2</v>
      </c>
      <c r="E9" s="8">
        <f>(MonthlyData!E9-MonthlyData!E8)/MonthlyData!E8</f>
        <v>6.4218719193322492E-3</v>
      </c>
      <c r="F9" s="8">
        <f>(MonthlyData!F9-MonthlyData!F8)/MonthlyData!F8</f>
        <v>-1.9480558972968853E-2</v>
      </c>
      <c r="G9" s="8">
        <f>(MonthlyData!G9-MonthlyData!G8)/MonthlyData!G8</f>
        <v>-2.1680434058297941E-2</v>
      </c>
      <c r="H9" s="8">
        <f>(MonthlyData!H9-MonthlyData!H8)/MonthlyData!H8</f>
        <v>-7.0208610909542168E-2</v>
      </c>
      <c r="I9" s="8">
        <f>(MonthlyData!I9-MonthlyData!I8)/MonthlyData!I8</f>
        <v>7.539413278075508E-3</v>
      </c>
      <c r="J9" s="8">
        <f>(MonthlyData!J9-MonthlyData!J8)/MonthlyData!J8</f>
        <v>-7.2208119222426717E-2</v>
      </c>
      <c r="K9" s="8">
        <f>(MonthlyData!K9-MonthlyData!K8)/MonthlyData!K8</f>
        <v>-0.11790943266044934</v>
      </c>
    </row>
    <row r="10" spans="1:11" x14ac:dyDescent="0.2">
      <c r="A10" s="1">
        <v>40359</v>
      </c>
      <c r="B10" s="8">
        <f>(MonthlyData!B10-MonthlyData!B9)/MonthlyData!B9</f>
        <v>2.1931543428416533E-2</v>
      </c>
      <c r="C10" s="8">
        <f>(MonthlyData!C10-MonthlyData!C9)/MonthlyData!C9</f>
        <v>5.1768766177739574E-3</v>
      </c>
      <c r="D10" s="8">
        <f>(MonthlyData!D10-MonthlyData!D9)/MonthlyData!D9</f>
        <v>1.9165712876593941E-2</v>
      </c>
      <c r="E10" s="8">
        <f>(MonthlyData!E10-MonthlyData!E9)/MonthlyData!E9</f>
        <v>3.8936162178850646E-2</v>
      </c>
      <c r="F10" s="8">
        <f>(MonthlyData!F10-MonthlyData!F9)/MonthlyData!F9</f>
        <v>0.12052937118674326</v>
      </c>
      <c r="G10" s="8">
        <f>(MonthlyData!G10-MonthlyData!G9)/MonthlyData!G9</f>
        <v>9.6524941679867401E-3</v>
      </c>
      <c r="H10" s="8">
        <f>(MonthlyData!H10-MonthlyData!H9)/MonthlyData!H9</f>
        <v>-7.5523044353567569E-3</v>
      </c>
      <c r="I10" s="8">
        <f>(MonthlyData!I10-MonthlyData!I9)/MonthlyData!I9</f>
        <v>0.12441850836898458</v>
      </c>
      <c r="J10" s="8">
        <f>(MonthlyData!J10-MonthlyData!J9)/MonthlyData!J9</f>
        <v>4.2450255911028467E-2</v>
      </c>
      <c r="K10" s="8">
        <f>(MonthlyData!K10-MonthlyData!K9)/MonthlyData!K9</f>
        <v>2.3469563031750497E-2</v>
      </c>
    </row>
    <row r="11" spans="1:11" x14ac:dyDescent="0.2">
      <c r="A11" s="1">
        <v>40389</v>
      </c>
      <c r="B11" s="8">
        <f>(MonthlyData!B11-MonthlyData!B10)/MonthlyData!B10</f>
        <v>4.4752862872782684E-2</v>
      </c>
      <c r="C11" s="8">
        <f>(MonthlyData!C11-MonthlyData!C10)/MonthlyData!C10</f>
        <v>0.11613415991098386</v>
      </c>
      <c r="D11" s="8">
        <f>(MonthlyData!D11-MonthlyData!D10)/MonthlyData!D10</f>
        <v>3.8163085179435105E-2</v>
      </c>
      <c r="E11" s="8">
        <f>(MonthlyData!E11-MonthlyData!E10)/MonthlyData!E10</f>
        <v>1.5943172916745168E-2</v>
      </c>
      <c r="F11" s="8">
        <f>(MonthlyData!F11-MonthlyData!F10)/MonthlyData!F10</f>
        <v>7.8014296564957494E-2</v>
      </c>
      <c r="G11" s="8">
        <f>(MonthlyData!G11-MonthlyData!G10)/MonthlyData!G10</f>
        <v>2.8680642766918275E-2</v>
      </c>
      <c r="H11" s="8">
        <f>(MonthlyData!H11-MonthlyData!H10)/MonthlyData!H10</f>
        <v>5.1086737247928511E-2</v>
      </c>
      <c r="I11" s="8">
        <f>(MonthlyData!I11-MonthlyData!I10)/MonthlyData!I10</f>
        <v>3.1020158544359131E-3</v>
      </c>
      <c r="J11" s="8">
        <f>(MonthlyData!J11-MonthlyData!J10)/MonthlyData!J10</f>
        <v>0.11085956844711711</v>
      </c>
      <c r="K11" s="8">
        <f>(MonthlyData!K11-MonthlyData!K10)/MonthlyData!K10</f>
        <v>0.10099988147445775</v>
      </c>
    </row>
    <row r="12" spans="1:11" x14ac:dyDescent="0.2">
      <c r="A12" s="1">
        <v>40421</v>
      </c>
      <c r="B12" s="8">
        <f>(MonthlyData!B12-MonthlyData!B11)/MonthlyData!B11</f>
        <v>-2.1242879957687727E-2</v>
      </c>
      <c r="C12" s="8">
        <f>(MonthlyData!C12-MonthlyData!C11)/MonthlyData!C11</f>
        <v>0.10867893357639294</v>
      </c>
      <c r="D12" s="8">
        <f>(MonthlyData!D12-MonthlyData!D11)/MonthlyData!D11</f>
        <v>4.3153743505541756E-2</v>
      </c>
      <c r="E12" s="8">
        <f>(MonthlyData!E12-MonthlyData!E11)/MonthlyData!E11</f>
        <v>3.836103148485847E-2</v>
      </c>
      <c r="F12" s="8">
        <f>(MonthlyData!F12-MonthlyData!F11)/MonthlyData!F11</f>
        <v>1.9737035146094942E-2</v>
      </c>
      <c r="G12" s="8">
        <f>(MonthlyData!G12-MonthlyData!G11)/MonthlyData!G11</f>
        <v>1.8492988423096728E-3</v>
      </c>
      <c r="H12" s="8">
        <f>(MonthlyData!H12-MonthlyData!H11)/MonthlyData!H11</f>
        <v>-1.5512320646011999E-2</v>
      </c>
      <c r="I12" s="8">
        <f>(MonthlyData!I12-MonthlyData!I11)/MonthlyData!I11</f>
        <v>-3.2989575394855475E-2</v>
      </c>
      <c r="J12" s="8">
        <f>(MonthlyData!J12-MonthlyData!J11)/MonthlyData!J11</f>
        <v>-4.0695452808560059E-3</v>
      </c>
      <c r="K12" s="8">
        <f>(MonthlyData!K12-MonthlyData!K11)/MonthlyData!K11</f>
        <v>-4.6841385463621196E-2</v>
      </c>
    </row>
    <row r="13" spans="1:11" x14ac:dyDescent="0.2">
      <c r="A13" s="1">
        <v>40451</v>
      </c>
      <c r="B13" s="8">
        <f>(MonthlyData!B13-MonthlyData!B12)/MonthlyData!B12</f>
        <v>9.4248098636590935E-2</v>
      </c>
      <c r="C13" s="8">
        <f>(MonthlyData!C13-MonthlyData!C12)/MonthlyData!C12</f>
        <v>0.11620229424383731</v>
      </c>
      <c r="D13" s="8">
        <f>(MonthlyData!D13-MonthlyData!D12)/MonthlyData!D12</f>
        <v>0.20711478057973615</v>
      </c>
      <c r="E13" s="8">
        <f>(MonthlyData!E13-MonthlyData!E12)/MonthlyData!E12</f>
        <v>4.9533920941253536E-2</v>
      </c>
      <c r="F13" s="8">
        <f>(MonthlyData!F13-MonthlyData!F12)/MonthlyData!F12</f>
        <v>8.9247408515750234E-2</v>
      </c>
      <c r="G13" s="8">
        <f>(MonthlyData!G13-MonthlyData!G12)/MonthlyData!G12</f>
        <v>6.9353200558765732E-2</v>
      </c>
      <c r="H13" s="8">
        <f>(MonthlyData!H13-MonthlyData!H12)/MonthlyData!H12</f>
        <v>0.16790165798712953</v>
      </c>
      <c r="I13" s="8">
        <f>(MonthlyData!I13-MonthlyData!I12)/MonthlyData!I12</f>
        <v>4.6908145986583542E-2</v>
      </c>
      <c r="J13" s="8">
        <f>(MonthlyData!J13-MonthlyData!J12)/MonthlyData!J12</f>
        <v>2.6582513220915691E-2</v>
      </c>
      <c r="K13" s="8">
        <f>(MonthlyData!K13-MonthlyData!K12)/MonthlyData!K12</f>
        <v>5.43969857759527E-2</v>
      </c>
    </row>
    <row r="14" spans="1:11" x14ac:dyDescent="0.2">
      <c r="A14" s="1">
        <v>40480</v>
      </c>
      <c r="B14" s="8">
        <f>(MonthlyData!B14-MonthlyData!B13)/MonthlyData!B13</f>
        <v>3.3425199314456103E-2</v>
      </c>
      <c r="C14" s="8">
        <f>(MonthlyData!C14-MonthlyData!C13)/MonthlyData!C13</f>
        <v>-9.505944092159312E-3</v>
      </c>
      <c r="D14" s="8">
        <f>(MonthlyData!D14-MonthlyData!D13)/MonthlyData!D13</f>
        <v>3.4012941904173091E-3</v>
      </c>
      <c r="E14" s="8">
        <f>(MonthlyData!E14-MonthlyData!E13)/MonthlyData!E13</f>
        <v>1.6949185270490701E-2</v>
      </c>
      <c r="F14" s="8">
        <f>(MonthlyData!F14-MonthlyData!F13)/MonthlyData!F13</f>
        <v>2.6617104594485973E-2</v>
      </c>
      <c r="G14" s="8">
        <f>(MonthlyData!G14-MonthlyData!G13)/MonthlyData!G13</f>
        <v>-6.134916733735952E-3</v>
      </c>
      <c r="H14" s="8">
        <f>(MonthlyData!H14-MonthlyData!H13)/MonthlyData!H13</f>
        <v>-3.6197836166924377E-3</v>
      </c>
      <c r="I14" s="8">
        <f>(MonthlyData!I14-MonthlyData!I13)/MonthlyData!I13</f>
        <v>-4.2984494089632064E-2</v>
      </c>
      <c r="J14" s="8">
        <f>(MonthlyData!J14-MonthlyData!J13)/MonthlyData!J13</f>
        <v>-6.9329379959885565E-3</v>
      </c>
      <c r="K14" s="8">
        <f>(MonthlyData!K14-MonthlyData!K13)/MonthlyData!K13</f>
        <v>1.3323547193061572E-2</v>
      </c>
    </row>
    <row r="15" spans="1:11" x14ac:dyDescent="0.2">
      <c r="A15" s="1">
        <v>40512</v>
      </c>
      <c r="B15" s="8">
        <f>(MonthlyData!B15-MonthlyData!B14)/MonthlyData!B14</f>
        <v>-1.9319966225837121E-3</v>
      </c>
      <c r="C15" s="8">
        <f>(MonthlyData!C15-MonthlyData!C14)/MonthlyData!C14</f>
        <v>8.6328093229693093E-2</v>
      </c>
      <c r="D15" s="8">
        <f>(MonthlyData!D15-MonthlyData!D14)/MonthlyData!D14</f>
        <v>-2.7118591022541421E-2</v>
      </c>
      <c r="E15" s="8">
        <f>(MonthlyData!E15-MonthlyData!E14)/MonthlyData!E14</f>
        <v>1.428563290958978E-2</v>
      </c>
      <c r="F15" s="8">
        <f>(MonthlyData!F15-MonthlyData!F14)/MonthlyData!F14</f>
        <v>-3.1098122288917528E-2</v>
      </c>
      <c r="G15" s="8">
        <f>(MonthlyData!G15-MonthlyData!G14)/MonthlyData!G14</f>
        <v>0.1363905637467748</v>
      </c>
      <c r="H15" s="8">
        <f>(MonthlyData!H15-MonthlyData!H14)/MonthlyData!H14</f>
        <v>-5.4494010777807935E-3</v>
      </c>
      <c r="I15" s="8">
        <f>(MonthlyData!I15-MonthlyData!I14)/MonthlyData!I14</f>
        <v>1.4989276363835843E-2</v>
      </c>
      <c r="J15" s="8">
        <f>(MonthlyData!J15-MonthlyData!J14)/MonthlyData!J14</f>
        <v>-6.1470911086717603E-3</v>
      </c>
      <c r="K15" s="8">
        <f>(MonthlyData!K15-MonthlyData!K14)/MonthlyData!K14</f>
        <v>-1.7219807620182419E-2</v>
      </c>
    </row>
    <row r="16" spans="1:11" x14ac:dyDescent="0.2">
      <c r="A16" s="1">
        <v>40543</v>
      </c>
      <c r="B16" s="8">
        <f>(MonthlyData!B16-MonthlyData!B15)/MonthlyData!B15</f>
        <v>1.3501320207592652E-3</v>
      </c>
      <c r="C16" s="8">
        <f>(MonthlyData!C16-MonthlyData!C15)/MonthlyData!C15</f>
        <v>-5.297496176347901E-2</v>
      </c>
      <c r="D16" s="8">
        <f>(MonthlyData!D16-MonthlyData!D15)/MonthlyData!D15</f>
        <v>4.4425134872526334E-2</v>
      </c>
      <c r="E16" s="8">
        <f>(MonthlyData!E16-MonthlyData!E15)/MonthlyData!E15</f>
        <v>-4.4838935891478391E-3</v>
      </c>
      <c r="F16" s="8">
        <f>(MonthlyData!F16-MonthlyData!F15)/MonthlyData!F15</f>
        <v>2.5075075174765982E-2</v>
      </c>
      <c r="G16" s="8">
        <f>(MonthlyData!G16-MonthlyData!G15)/MonthlyData!G15</f>
        <v>7.8316019282993472E-4</v>
      </c>
      <c r="H16" s="8">
        <f>(MonthlyData!H16-MonthlyData!H15)/MonthlyData!H15</f>
        <v>-3.1963128465479634E-2</v>
      </c>
      <c r="I16" s="8">
        <f>(MonthlyData!I16-MonthlyData!I15)/MonthlyData!I15</f>
        <v>-3.3754830269570851E-2</v>
      </c>
      <c r="J16" s="8">
        <f>(MonthlyData!J16-MonthlyData!J15)/MonthlyData!J15</f>
        <v>6.1851115529047646E-3</v>
      </c>
      <c r="K16" s="8">
        <f>(MonthlyData!K16-MonthlyData!K15)/MonthlyData!K15</f>
        <v>1.2436948324731389E-2</v>
      </c>
    </row>
    <row r="17" spans="1:11" x14ac:dyDescent="0.2">
      <c r="A17" s="1">
        <v>40574</v>
      </c>
      <c r="B17" s="8">
        <f>(MonthlyData!B17-MonthlyData!B16)/MonthlyData!B16</f>
        <v>1.7880434207394203E-2</v>
      </c>
      <c r="C17" s="8">
        <f>(MonthlyData!C17-MonthlyData!C16)/MonthlyData!C16</f>
        <v>-8.4387423202023873E-2</v>
      </c>
      <c r="D17" s="8">
        <f>(MonthlyData!D17-MonthlyData!D16)/MonthlyData!D16</f>
        <v>7.256039076822092E-2</v>
      </c>
      <c r="E17" s="8">
        <f>(MonthlyData!E17-MonthlyData!E16)/MonthlyData!E16</f>
        <v>2.3772836835448089E-3</v>
      </c>
      <c r="F17" s="8">
        <f>(MonthlyData!F17-MonthlyData!F16)/MonthlyData!F16</f>
        <v>-3.6203530743741268E-2</v>
      </c>
      <c r="G17" s="8">
        <f>(MonthlyData!G17-MonthlyData!G16)/MonthlyData!G16</f>
        <v>6.2596891942623108E-3</v>
      </c>
      <c r="H17" s="8">
        <f>(MonthlyData!H17-MonthlyData!H16)/MonthlyData!H16</f>
        <v>1.981142411528522E-2</v>
      </c>
      <c r="I17" s="8">
        <f>(MonthlyData!I17-MonthlyData!I16)/MonthlyData!I16</f>
        <v>-3.7117950521663008E-2</v>
      </c>
      <c r="J17" s="8">
        <f>(MonthlyData!J17-MonthlyData!J16)/MonthlyData!J16</f>
        <v>3.6882546652030709E-2</v>
      </c>
      <c r="K17" s="8">
        <f>(MonthlyData!K17-MonthlyData!K16)/MonthlyData!K16</f>
        <v>6.6039688236101568E-2</v>
      </c>
    </row>
    <row r="18" spans="1:11" x14ac:dyDescent="0.2">
      <c r="A18" s="1">
        <v>40602</v>
      </c>
      <c r="B18" s="8">
        <f>(MonthlyData!B18-MonthlyData!B17)/MonthlyData!B17</f>
        <v>-4.6038780960116375E-3</v>
      </c>
      <c r="C18" s="8">
        <f>(MonthlyData!C18-MonthlyData!C17)/MonthlyData!C17</f>
        <v>-7.8411782119597456E-2</v>
      </c>
      <c r="D18" s="8">
        <f>(MonthlyData!D18-MonthlyData!D17)/MonthlyData!D17</f>
        <v>-5.7542844400450335E-2</v>
      </c>
      <c r="E18" s="8">
        <f>(MonthlyData!E18-MonthlyData!E17)/MonthlyData!E17</f>
        <v>3.1621941455134152E-3</v>
      </c>
      <c r="F18" s="8">
        <f>(MonthlyData!F18-MonthlyData!F17)/MonthlyData!F17</f>
        <v>-3.7586981700955348E-2</v>
      </c>
      <c r="G18" s="8">
        <f>(MonthlyData!G18-MonthlyData!G17)/MonthlyData!G17</f>
        <v>-3.421463469114306E-2</v>
      </c>
      <c r="H18" s="8">
        <f>(MonthlyData!H18-MonthlyData!H17)/MonthlyData!H17</f>
        <v>-8.6956590430809527E-2</v>
      </c>
      <c r="I18" s="8">
        <f>(MonthlyData!I18-MonthlyData!I17)/MonthlyData!I17</f>
        <v>-1.1338287832183842E-2</v>
      </c>
      <c r="J18" s="8">
        <f>(MonthlyData!J18-MonthlyData!J17)/MonthlyData!J17</f>
        <v>-4.1499047215752649E-2</v>
      </c>
      <c r="K18" s="8">
        <f>(MonthlyData!K18-MonthlyData!K17)/MonthlyData!K17</f>
        <v>6.9119566928898452E-2</v>
      </c>
    </row>
    <row r="19" spans="1:11" x14ac:dyDescent="0.2">
      <c r="A19" s="1">
        <v>40633</v>
      </c>
      <c r="B19" s="8">
        <f>(MonthlyData!B19-MonthlyData!B18)/MonthlyData!B18</f>
        <v>1.1133512228203772E-2</v>
      </c>
      <c r="C19" s="8">
        <f>(MonthlyData!C19-MonthlyData!C18)/MonthlyData!C18</f>
        <v>2.9846750987084347E-2</v>
      </c>
      <c r="D19" s="8">
        <f>(MonthlyData!D19-MonthlyData!D18)/MonthlyData!D18</f>
        <v>4.6204763306267785E-2</v>
      </c>
      <c r="E19" s="8">
        <f>(MonthlyData!E19-MonthlyData!E18)/MonthlyData!E18</f>
        <v>5.9008866477712786E-3</v>
      </c>
      <c r="F19" s="8">
        <f>(MonthlyData!F19-MonthlyData!F18)/MonthlyData!F18</f>
        <v>2.0127463343989085E-2</v>
      </c>
      <c r="G19" s="8">
        <f>(MonthlyData!G19-MonthlyData!G18)/MonthlyData!G18</f>
        <v>2.6717671658087253E-2</v>
      </c>
      <c r="H19" s="8">
        <f>(MonthlyData!H19-MonthlyData!H18)/MonthlyData!H18</f>
        <v>9.2197906590829992E-2</v>
      </c>
      <c r="I19" s="8">
        <f>(MonthlyData!I19-MonthlyData!I18)/MonthlyData!I18</f>
        <v>6.9953885562610021E-2</v>
      </c>
      <c r="J19" s="8">
        <f>(MonthlyData!J19-MonthlyData!J18)/MonthlyData!J18</f>
        <v>-1.9243270535517061E-2</v>
      </c>
      <c r="K19" s="8">
        <f>(MonthlyData!K19-MonthlyData!K18)/MonthlyData!K18</f>
        <v>-9.2957164610729129E-2</v>
      </c>
    </row>
    <row r="20" spans="1:11" x14ac:dyDescent="0.2">
      <c r="A20" s="1">
        <v>40662</v>
      </c>
      <c r="B20" s="8">
        <f>(MonthlyData!B20-MonthlyData!B19)/MonthlyData!B19</f>
        <v>9.9095461954931373E-3</v>
      </c>
      <c r="C20" s="8">
        <f>(MonthlyData!C20-MonthlyData!C19)/MonthlyData!C19</f>
        <v>3.9690688153876094E-2</v>
      </c>
      <c r="D20" s="8">
        <f>(MonthlyData!D20-MonthlyData!D19)/MonthlyData!D19</f>
        <v>-3.6277556063644009E-2</v>
      </c>
      <c r="E20" s="8">
        <f>(MonthlyData!E20-MonthlyData!E19)/MonthlyData!E19</f>
        <v>1.5898087447846997E-2</v>
      </c>
      <c r="F20" s="8">
        <f>(MonthlyData!F20-MonthlyData!F19)/MonthlyData!F19</f>
        <v>8.6188692418660104E-2</v>
      </c>
      <c r="G20" s="8">
        <f>(MonthlyData!G20-MonthlyData!G19)/MonthlyData!G19</f>
        <v>-3.3439521529496946E-2</v>
      </c>
      <c r="H20" s="8">
        <f>(MonthlyData!H20-MonthlyData!H19)/MonthlyData!H19</f>
        <v>-1.1201046909730507E-3</v>
      </c>
      <c r="I20" s="8">
        <f>(MonthlyData!I20-MonthlyData!I19)/MonthlyData!I19</f>
        <v>3.3226897069872231E-2</v>
      </c>
      <c r="J20" s="8">
        <f>(MonthlyData!J20-MonthlyData!J19)/MonthlyData!J19</f>
        <v>4.27938943087344E-3</v>
      </c>
      <c r="K20" s="8">
        <f>(MonthlyData!K20-MonthlyData!K19)/MonthlyData!K19</f>
        <v>3.3375974954350733E-2</v>
      </c>
    </row>
    <row r="21" spans="1:11" x14ac:dyDescent="0.2">
      <c r="A21" s="1">
        <v>40694</v>
      </c>
      <c r="B21" s="8">
        <f>(MonthlyData!B21-MonthlyData!B20)/MonthlyData!B20</f>
        <v>6.636482964902833E-3</v>
      </c>
      <c r="C21" s="8">
        <f>(MonthlyData!C21-MonthlyData!C20)/MonthlyData!C20</f>
        <v>9.7501218765231159E-4</v>
      </c>
      <c r="D21" s="8">
        <f>(MonthlyData!D21-MonthlyData!D20)/MonthlyData!D20</f>
        <v>1.6744627009498331E-2</v>
      </c>
      <c r="E21" s="8">
        <f>(MonthlyData!E21-MonthlyData!E20)/MonthlyData!E20</f>
        <v>3.9123417026572002E-2</v>
      </c>
      <c r="F21" s="8">
        <f>(MonthlyData!F21-MonthlyData!F20)/MonthlyData!F20</f>
        <v>-3.6328861650925165E-2</v>
      </c>
      <c r="G21" s="8">
        <f>(MonthlyData!G21-MonthlyData!G20)/MonthlyData!G20</f>
        <v>3.6528777765962112E-2</v>
      </c>
      <c r="H21" s="8">
        <f>(MonthlyData!H21-MonthlyData!H20)/MonthlyData!H20</f>
        <v>-6.585416917796556E-3</v>
      </c>
      <c r="I21" s="8">
        <f>(MonthlyData!I21-MonthlyData!I20)/MonthlyData!I20</f>
        <v>3.7115604859065184E-2</v>
      </c>
      <c r="J21" s="8">
        <f>(MonthlyData!J21-MonthlyData!J20)/MonthlyData!J20</f>
        <v>3.8382427384163795E-2</v>
      </c>
      <c r="K21" s="8">
        <f>(MonthlyData!K21-MonthlyData!K20)/MonthlyData!K20</f>
        <v>-2.3885871629848912E-2</v>
      </c>
    </row>
    <row r="22" spans="1:11" x14ac:dyDescent="0.2">
      <c r="A22" s="1">
        <v>40724</v>
      </c>
      <c r="B22" s="8">
        <f>(MonthlyData!B22-MonthlyData!B21)/MonthlyData!B21</f>
        <v>-4.765392768201545E-2</v>
      </c>
      <c r="C22" s="8">
        <f>(MonthlyData!C22-MonthlyData!C21)/MonthlyData!C21</f>
        <v>-3.326797956966418E-2</v>
      </c>
      <c r="D22" s="8">
        <f>(MonthlyData!D22-MonthlyData!D21)/MonthlyData!D21</f>
        <v>-6.4913605886479708E-2</v>
      </c>
      <c r="E22" s="8">
        <f>(MonthlyData!E22-MonthlyData!E21)/MonthlyData!E21</f>
        <v>4.6517673073759834E-2</v>
      </c>
      <c r="F22" s="8">
        <f>(MonthlyData!F22-MonthlyData!F21)/MonthlyData!F21</f>
        <v>-2.182528718644746E-2</v>
      </c>
      <c r="G22" s="8">
        <f>(MonthlyData!G22-MonthlyData!G21)/MonthlyData!G21</f>
        <v>-3.2078124129787922E-3</v>
      </c>
      <c r="H22" s="8">
        <f>(MonthlyData!H22-MonthlyData!H21)/MonthlyData!H21</f>
        <v>-5.0189037124081071E-2</v>
      </c>
      <c r="I22" s="8">
        <f>(MonthlyData!I22-MonthlyData!I21)/MonthlyData!I21</f>
        <v>-1.5590048796010024E-2</v>
      </c>
      <c r="J22" s="8">
        <f>(MonthlyData!J22-MonthlyData!J21)/MonthlyData!J21</f>
        <v>1.2317110045602949E-2</v>
      </c>
      <c r="K22" s="8">
        <f>(MonthlyData!K22-MonthlyData!K21)/MonthlyData!K21</f>
        <v>-5.7503285686632044E-2</v>
      </c>
    </row>
    <row r="23" spans="1:11" x14ac:dyDescent="0.2">
      <c r="A23" s="1">
        <v>40753</v>
      </c>
      <c r="B23" s="8">
        <f>(MonthlyData!B23-MonthlyData!B22)/MonthlyData!B22</f>
        <v>1.9071415599100107E-3</v>
      </c>
      <c r="C23" s="8">
        <f>(MonthlyData!C23-MonthlyData!C22)/MonthlyData!C22</f>
        <v>2.221849043442351E-3</v>
      </c>
      <c r="D23" s="8">
        <f>(MonthlyData!D23-MonthlyData!D22)/MonthlyData!D22</f>
        <v>4.6573199270446772E-2</v>
      </c>
      <c r="E23" s="8">
        <f>(MonthlyData!E23-MonthlyData!E22)/MonthlyData!E22</f>
        <v>4.4234896728921821E-2</v>
      </c>
      <c r="F23" s="8">
        <f>(MonthlyData!F23-MonthlyData!F22)/MonthlyData!F22</f>
        <v>-4.8681504290806074E-2</v>
      </c>
      <c r="G23" s="8">
        <f>(MonthlyData!G23-MonthlyData!G22)/MonthlyData!G22</f>
        <v>-1.4481091204668017E-2</v>
      </c>
      <c r="H23" s="8">
        <f>(MonthlyData!H23-MonthlyData!H22)/MonthlyData!H22</f>
        <v>-1.4955530116978276E-2</v>
      </c>
      <c r="I23" s="8">
        <f>(MonthlyData!I23-MonthlyData!I22)/MonthlyData!I22</f>
        <v>7.9185422748910425E-2</v>
      </c>
      <c r="J23" s="8">
        <f>(MonthlyData!J23-MonthlyData!J22)/MonthlyData!J22</f>
        <v>2.4340585320060754E-2</v>
      </c>
      <c r="K23" s="8">
        <f>(MonthlyData!K23-MonthlyData!K22)/MonthlyData!K22</f>
        <v>-3.5590096864215113E-3</v>
      </c>
    </row>
    <row r="24" spans="1:11" x14ac:dyDescent="0.2">
      <c r="A24" s="1">
        <v>40786</v>
      </c>
      <c r="B24" s="8">
        <f>(MonthlyData!B24-MonthlyData!B23)/MonthlyData!B23</f>
        <v>-8.2324827363115805E-2</v>
      </c>
      <c r="C24" s="8">
        <f>(MonthlyData!C24-MonthlyData!C23)/MonthlyData!C23</f>
        <v>-0.13177804988077593</v>
      </c>
      <c r="D24" s="8">
        <f>(MonthlyData!D24-MonthlyData!D23)/MonthlyData!D23</f>
        <v>-8.2283891823013433E-2</v>
      </c>
      <c r="E24" s="8">
        <f>(MonthlyData!E24-MonthlyData!E23)/MonthlyData!E23</f>
        <v>2.0834206259931032E-3</v>
      </c>
      <c r="F24" s="8">
        <f>(MonthlyData!F24-MonthlyData!F23)/MonthlyData!F23</f>
        <v>-2.9850751513005057E-2</v>
      </c>
      <c r="G24" s="8">
        <f>(MonthlyData!G24-MonthlyData!G23)/MonthlyData!G23</f>
        <v>-5.4502049401889137E-2</v>
      </c>
      <c r="H24" s="8">
        <f>(MonthlyData!H24-MonthlyData!H23)/MonthlyData!H23</f>
        <v>-7.9959044368600601E-2</v>
      </c>
      <c r="I24" s="8">
        <f>(MonthlyData!I24-MonthlyData!I23)/MonthlyData!I23</f>
        <v>-3.9831985780092692E-2</v>
      </c>
      <c r="J24" s="8">
        <f>(MonthlyData!J24-MonthlyData!J23)/MonthlyData!J23</f>
        <v>-2.7719590573673025E-2</v>
      </c>
      <c r="K24" s="8">
        <f>(MonthlyData!K24-MonthlyData!K23)/MonthlyData!K23</f>
        <v>-0.11833285528127474</v>
      </c>
    </row>
    <row r="25" spans="1:11" x14ac:dyDescent="0.2">
      <c r="A25" s="1">
        <v>40816</v>
      </c>
      <c r="B25" s="8">
        <f>(MonthlyData!B25-MonthlyData!B24)/MonthlyData!B24</f>
        <v>-0.13827943212863025</v>
      </c>
      <c r="C25" s="8">
        <f>(MonthlyData!C25-MonthlyData!C24)/MonthlyData!C24</f>
        <v>-0.174032452012292</v>
      </c>
      <c r="D25" s="8">
        <f>(MonthlyData!D25-MonthlyData!D24)/MonthlyData!D24</f>
        <v>-0.21264362340537188</v>
      </c>
      <c r="E25" s="8">
        <f>(MonthlyData!E25-MonthlyData!E24)/MonthlyData!E24</f>
        <v>-1.5114243753887834E-2</v>
      </c>
      <c r="F25" s="8">
        <f>(MonthlyData!F25-MonthlyData!F24)/MonthlyData!F24</f>
        <v>-0.12417617004045942</v>
      </c>
      <c r="G25" s="8">
        <f>(MonthlyData!G25-MonthlyData!G24)/MonthlyData!G24</f>
        <v>-0.1992153352321869</v>
      </c>
      <c r="H25" s="8">
        <f>(MonthlyData!H25-MonthlyData!H24)/MonthlyData!H24</f>
        <v>-0.21470330746516705</v>
      </c>
      <c r="I25" s="8">
        <f>(MonthlyData!I25-MonthlyData!I24)/MonthlyData!I24</f>
        <v>-3.1916967769097089E-2</v>
      </c>
      <c r="J25" s="8">
        <f>(MonthlyData!J25-MonthlyData!J24)/MonthlyData!J24</f>
        <v>-8.5541858956310973E-2</v>
      </c>
      <c r="K25" s="8">
        <f>(MonthlyData!K25-MonthlyData!K24)/MonthlyData!K24</f>
        <v>-9.1009226329047094E-2</v>
      </c>
    </row>
    <row r="26" spans="1:11" x14ac:dyDescent="0.2">
      <c r="A26" s="1">
        <v>40847</v>
      </c>
      <c r="B26" s="8">
        <f>(MonthlyData!B26-MonthlyData!B25)/MonthlyData!B25</f>
        <v>0.1294620091621568</v>
      </c>
      <c r="C26" s="8">
        <f>(MonthlyData!C26-MonthlyData!C25)/MonthlyData!C25</f>
        <v>0.11718609583378276</v>
      </c>
      <c r="D26" s="8">
        <f>(MonthlyData!D26-MonthlyData!D25)/MonthlyData!D25</f>
        <v>0.14252328524893676</v>
      </c>
      <c r="E26" s="8">
        <f>(MonthlyData!E26-MonthlyData!E25)/MonthlyData!E25</f>
        <v>-1.4174104190540835E-2</v>
      </c>
      <c r="F26" s="8">
        <f>(MonthlyData!F26-MonthlyData!F25)/MonthlyData!F25</f>
        <v>0.21258449529439885</v>
      </c>
      <c r="G26" s="8">
        <f>(MonthlyData!G26-MonthlyData!G25)/MonthlyData!G25</f>
        <v>0.10179653628471949</v>
      </c>
      <c r="H26" s="8">
        <f>(MonthlyData!H26-MonthlyData!H25)/MonthlyData!H25</f>
        <v>0.21438491407408813</v>
      </c>
      <c r="I26" s="8">
        <f>(MonthlyData!I26-MonthlyData!I25)/MonthlyData!I25</f>
        <v>1.1360230590835986E-3</v>
      </c>
      <c r="J26" s="8">
        <f>(MonthlyData!J26-MonthlyData!J25)/MonthlyData!J25</f>
        <v>-5.0111775966159254E-2</v>
      </c>
      <c r="K26" s="8">
        <f>(MonthlyData!K26-MonthlyData!K25)/MonthlyData!K25</f>
        <v>0.1519030452405731</v>
      </c>
    </row>
    <row r="27" spans="1:11" x14ac:dyDescent="0.2">
      <c r="A27" s="1">
        <v>40877</v>
      </c>
      <c r="B27" s="8">
        <f>(MonthlyData!B27-MonthlyData!B26)/MonthlyData!B26</f>
        <v>-9.2388117352507307E-2</v>
      </c>
      <c r="C27" s="8">
        <f>(MonthlyData!C27-MonthlyData!C26)/MonthlyData!C26</f>
        <v>-5.1755204478908703E-2</v>
      </c>
      <c r="D27" s="8">
        <f>(MonthlyData!D27-MonthlyData!D26)/MonthlyData!D26</f>
        <v>-0.12525561474492605</v>
      </c>
      <c r="E27" s="8">
        <f>(MonthlyData!E27-MonthlyData!E26)/MonthlyData!E26</f>
        <v>-1.8691399928643843E-2</v>
      </c>
      <c r="F27" s="8">
        <f>(MonthlyData!F27-MonthlyData!F26)/MonthlyData!F26</f>
        <v>-0.14779913036064457</v>
      </c>
      <c r="G27" s="8">
        <f>(MonthlyData!G27-MonthlyData!G26)/MonthlyData!G26</f>
        <v>-6.4943284378486871E-2</v>
      </c>
      <c r="H27" s="8">
        <f>(MonthlyData!H27-MonthlyData!H26)/MonthlyData!H26</f>
        <v>-0.13356646620869944</v>
      </c>
      <c r="I27" s="8">
        <f>(MonthlyData!I27-MonthlyData!I26)/MonthlyData!I26</f>
        <v>6.8022664674517504E-3</v>
      </c>
      <c r="J27" s="8">
        <f>(MonthlyData!J27-MonthlyData!J26)/MonthlyData!J26</f>
        <v>-1.6748990621410793E-2</v>
      </c>
      <c r="K27" s="8">
        <f>(MonthlyData!K27-MonthlyData!K26)/MonthlyData!K26</f>
        <v>-0.17494214848063086</v>
      </c>
    </row>
    <row r="28" spans="1:11" x14ac:dyDescent="0.2">
      <c r="A28" s="1">
        <v>40907</v>
      </c>
      <c r="B28" s="8">
        <f>(MonthlyData!B28-MonthlyData!B27)/MonthlyData!B27</f>
        <v>2.5546414794533852E-2</v>
      </c>
      <c r="C28" s="8">
        <f>(MonthlyData!C28-MonthlyData!C27)/MonthlyData!C27</f>
        <v>-1.7695661763458291E-2</v>
      </c>
      <c r="D28" s="8">
        <f>(MonthlyData!D28-MonthlyData!D27)/MonthlyData!D27</f>
        <v>8.0069950345896437E-2</v>
      </c>
      <c r="E28" s="8">
        <f>(MonthlyData!E28-MonthlyData!E27)/MonthlyData!E27</f>
        <v>-2.4768435216886715E-2</v>
      </c>
      <c r="F28" s="8">
        <f>(MonthlyData!F28-MonthlyData!F27)/MonthlyData!F27</f>
        <v>4.6740401446095932E-2</v>
      </c>
      <c r="G28" s="8">
        <f>(MonthlyData!G28-MonthlyData!G27)/MonthlyData!G27</f>
        <v>-1.4438507968338976E-2</v>
      </c>
      <c r="H28" s="8">
        <f>(MonthlyData!H28-MonthlyData!H27)/MonthlyData!H27</f>
        <v>3.4854382444184151E-2</v>
      </c>
      <c r="I28" s="8">
        <f>(MonthlyData!I28-MonthlyData!I27)/MonthlyData!I27</f>
        <v>1.3513971164956754E-2</v>
      </c>
      <c r="J28" s="8">
        <f>(MonthlyData!J28-MonthlyData!J27)/MonthlyData!J27</f>
        <v>-5.0092445285290516E-3</v>
      </c>
      <c r="K28" s="8">
        <f>(MonthlyData!K28-MonthlyData!K27)/MonthlyData!K27</f>
        <v>3.1054800108474459E-2</v>
      </c>
    </row>
    <row r="29" spans="1:11" x14ac:dyDescent="0.2">
      <c r="A29" s="1">
        <v>40939</v>
      </c>
      <c r="B29" s="8">
        <f>(MonthlyData!B29-MonthlyData!B28)/MonthlyData!B28</f>
        <v>0.10611157261770703</v>
      </c>
      <c r="C29" s="8">
        <f>(MonthlyData!C29-MonthlyData!C28)/MonthlyData!C28</f>
        <v>0.15316591246675179</v>
      </c>
      <c r="D29" s="8">
        <f>(MonthlyData!D29-MonthlyData!D28)/MonthlyData!D28</f>
        <v>0.12986986743367077</v>
      </c>
      <c r="E29" s="8">
        <f>(MonthlyData!E29-MonthlyData!E28)/MonthlyData!E28</f>
        <v>-3.860681761852737E-2</v>
      </c>
      <c r="F29" s="8">
        <f>(MonthlyData!F29-MonthlyData!F28)/MonthlyData!F28</f>
        <v>0.15746212051700831</v>
      </c>
      <c r="G29" s="8">
        <f>(MonthlyData!G29-MonthlyData!G28)/MonthlyData!G28</f>
        <v>8.6272312611959667E-2</v>
      </c>
      <c r="H29" s="8">
        <f>(MonthlyData!H29-MonthlyData!H28)/MonthlyData!H28</f>
        <v>9.067285020465983E-2</v>
      </c>
      <c r="I29" s="8">
        <f>(MonthlyData!I29-MonthlyData!I28)/MonthlyData!I28</f>
        <v>2.2221405419855018E-2</v>
      </c>
      <c r="J29" s="8">
        <f>(MonthlyData!J29-MonthlyData!J28)/MonthlyData!J28</f>
        <v>1.9633686970174938E-2</v>
      </c>
      <c r="K29" s="8">
        <f>(MonthlyData!K29-MonthlyData!K28)/MonthlyData!K28</f>
        <v>0.10761365727297688</v>
      </c>
    </row>
    <row r="30" spans="1:11" x14ac:dyDescent="0.2">
      <c r="A30" s="1">
        <v>40968</v>
      </c>
      <c r="B30" s="8">
        <f>(MonthlyData!B30-MonthlyData!B29)/MonthlyData!B29</f>
        <v>6.3244874067328344E-2</v>
      </c>
      <c r="C30" s="8">
        <f>(MonthlyData!C30-MonthlyData!C29)/MonthlyData!C29</f>
        <v>2.5911392025881712E-3</v>
      </c>
      <c r="D30" s="8">
        <f>(MonthlyData!D30-MonthlyData!D29)/MonthlyData!D29</f>
        <v>8.6207297195047439E-2</v>
      </c>
      <c r="E30" s="8">
        <f>(MonthlyData!E30-MonthlyData!E29)/MonthlyData!E29</f>
        <v>7.8740146139936906E-2</v>
      </c>
      <c r="F30" s="8">
        <f>(MonthlyData!F30-MonthlyData!F29)/MonthlyData!F29</f>
        <v>6.8020420593407446E-2</v>
      </c>
      <c r="G30" s="8">
        <f>(MonthlyData!G30-MonthlyData!G29)/MonthlyData!G29</f>
        <v>8.4915090794293518E-2</v>
      </c>
      <c r="H30" s="8">
        <f>(MonthlyData!H30-MonthlyData!H29)/MonthlyData!H29</f>
        <v>0.156770947276307</v>
      </c>
      <c r="I30" s="8">
        <f>(MonthlyData!I30-MonthlyData!I29)/MonthlyData!I29</f>
        <v>7.6087162599919766E-2</v>
      </c>
      <c r="J30" s="8">
        <f>(MonthlyData!J30-MonthlyData!J29)/MonthlyData!J29</f>
        <v>0.16790399028035802</v>
      </c>
      <c r="K30" s="8">
        <f>(MonthlyData!K30-MonthlyData!K29)/MonthlyData!K29</f>
        <v>7.8788595351695953E-2</v>
      </c>
    </row>
    <row r="31" spans="1:11" x14ac:dyDescent="0.2">
      <c r="A31" s="1">
        <v>40998</v>
      </c>
      <c r="B31" s="8">
        <f>(MonthlyData!B31-MonthlyData!B30)/MonthlyData!B30</f>
        <v>-4.8662981216335298E-2</v>
      </c>
      <c r="C31" s="8">
        <f>(MonthlyData!C31-MonthlyData!C30)/MonthlyData!C30</f>
        <v>-6.6224473027681807E-2</v>
      </c>
      <c r="D31" s="8">
        <f>(MonthlyData!D31-MonthlyData!D30)/MonthlyData!D30</f>
        <v>-0.11552031440607176</v>
      </c>
      <c r="E31" s="8">
        <f>(MonthlyData!E31-MonthlyData!E30)/MonthlyData!E30</f>
        <v>-7.9972603709047314E-3</v>
      </c>
      <c r="F31" s="8">
        <f>(MonthlyData!F31-MonthlyData!F30)/MonthlyData!F30</f>
        <v>-4.4676826662163778E-2</v>
      </c>
      <c r="G31" s="8">
        <f>(MonthlyData!G31-MonthlyData!G30)/MonthlyData!G30</f>
        <v>-3.2511745911694208E-2</v>
      </c>
      <c r="H31" s="8">
        <f>(MonthlyData!H31-MonthlyData!H30)/MonthlyData!H30</f>
        <v>-0.12012323858908311</v>
      </c>
      <c r="I31" s="8">
        <f>(MonthlyData!I31-MonthlyData!I30)/MonthlyData!I30</f>
        <v>5.0510819060210991E-3</v>
      </c>
      <c r="J31" s="8">
        <f>(MonthlyData!J31-MonthlyData!J30)/MonthlyData!J30</f>
        <v>-8.147503008969452E-2</v>
      </c>
      <c r="K31" s="8">
        <f>(MonthlyData!K31-MonthlyData!K30)/MonthlyData!K30</f>
        <v>-1.8079039089476823E-2</v>
      </c>
    </row>
    <row r="32" spans="1:11" x14ac:dyDescent="0.2">
      <c r="A32" s="1">
        <v>41029</v>
      </c>
      <c r="B32" s="8">
        <f>(MonthlyData!B32-MonthlyData!B31)/MonthlyData!B31</f>
        <v>2.7019969905716111E-2</v>
      </c>
      <c r="C32" s="8">
        <f>(MonthlyData!C32-MonthlyData!C31)/MonthlyData!C31</f>
        <v>-6.2585991744792499E-2</v>
      </c>
      <c r="D32" s="8">
        <f>(MonthlyData!D32-MonthlyData!D31)/MonthlyData!D31</f>
        <v>2.8913333647676117E-2</v>
      </c>
      <c r="E32" s="8">
        <f>(MonthlyData!E32-MonthlyData!E31)/MonthlyData!E31</f>
        <v>-8.2091043738597852E-3</v>
      </c>
      <c r="F32" s="8">
        <f>(MonthlyData!F32-MonthlyData!F31)/MonthlyData!F31</f>
        <v>-2.3398472971069936E-2</v>
      </c>
      <c r="G32" s="8">
        <f>(MonthlyData!G32-MonthlyData!G31)/MonthlyData!G31</f>
        <v>3.2945486132595195E-2</v>
      </c>
      <c r="H32" s="8">
        <f>(MonthlyData!H32-MonthlyData!H31)/MonthlyData!H31</f>
        <v>3.1504509856028429E-2</v>
      </c>
      <c r="I32" s="8">
        <f>(MonthlyData!I32-MonthlyData!I31)/MonthlyData!I31</f>
        <v>-3.0157807118186882E-3</v>
      </c>
      <c r="J32" s="8">
        <f>(MonthlyData!J32-MonthlyData!J31)/MonthlyData!J31</f>
        <v>-2.1123607343219063E-2</v>
      </c>
      <c r="K32" s="8">
        <f>(MonthlyData!K32-MonthlyData!K31)/MonthlyData!K31</f>
        <v>3.5526812768855338E-2</v>
      </c>
    </row>
    <row r="33" spans="1:11" x14ac:dyDescent="0.2">
      <c r="A33" s="1">
        <v>41060</v>
      </c>
      <c r="B33" s="8">
        <f>(MonthlyData!B33-MonthlyData!B32)/MonthlyData!B32</f>
        <v>-0.10716978525250259</v>
      </c>
      <c r="C33" s="8">
        <f>(MonthlyData!C33-MonthlyData!C32)/MonthlyData!C32</f>
        <v>-8.9667884083694693E-2</v>
      </c>
      <c r="D33" s="8">
        <f>(MonthlyData!D33-MonthlyData!D32)/MonthlyData!D32</f>
        <v>-0.10745108656176333</v>
      </c>
      <c r="E33" s="8">
        <f>(MonthlyData!E33-MonthlyData!E32)/MonthlyData!E32</f>
        <v>-4.8908832337970158E-2</v>
      </c>
      <c r="F33" s="8">
        <f>(MonthlyData!F33-MonthlyData!F32)/MonthlyData!F32</f>
        <v>-7.8028605173752874E-2</v>
      </c>
      <c r="G33" s="8">
        <f>(MonthlyData!G33-MonthlyData!G32)/MonthlyData!G32</f>
        <v>-4.9279772089050565E-2</v>
      </c>
      <c r="H33" s="8">
        <f>(MonthlyData!H33-MonthlyData!H32)/MonthlyData!H32</f>
        <v>-0.11538556254984451</v>
      </c>
      <c r="I33" s="8">
        <f>(MonthlyData!I33-MonthlyData!I32)/MonthlyData!I32</f>
        <v>-8.1652983158401346E-2</v>
      </c>
      <c r="J33" s="8">
        <f>(MonthlyData!J33-MonthlyData!J32)/MonthlyData!J32</f>
        <v>-3.1178528185120499E-2</v>
      </c>
      <c r="K33" s="8">
        <f>(MonthlyData!K33-MonthlyData!K32)/MonthlyData!K32</f>
        <v>-0.13041172644954721</v>
      </c>
    </row>
    <row r="34" spans="1:11" x14ac:dyDescent="0.2">
      <c r="A34" s="1">
        <v>41089</v>
      </c>
      <c r="B34" s="8">
        <f>(MonthlyData!B34-MonthlyData!B33)/MonthlyData!B33</f>
        <v>5.5122074122754078E-2</v>
      </c>
      <c r="C34" s="8">
        <f>(MonthlyData!C34-MonthlyData!C33)/MonthlyData!C33</f>
        <v>4.0063742032245976E-2</v>
      </c>
      <c r="D34" s="8">
        <f>(MonthlyData!D34-MonthlyData!D33)/MonthlyData!D33</f>
        <v>5.6982654982484893E-2</v>
      </c>
      <c r="E34" s="8">
        <f>(MonthlyData!E34-MonthlyData!E33)/MonthlyData!E33</f>
        <v>4.9017639016358437E-2</v>
      </c>
      <c r="F34" s="8">
        <f>(MonthlyData!F34-MonthlyData!F33)/MonthlyData!F33</f>
        <v>5.901983794838167E-2</v>
      </c>
      <c r="G34" s="8">
        <f>(MonthlyData!G34-MonthlyData!G33)/MonthlyData!G33</f>
        <v>5.682956330531444E-2</v>
      </c>
      <c r="H34" s="8">
        <f>(MonthlyData!H34-MonthlyData!H33)/MonthlyData!H33</f>
        <v>0.10967064970662561</v>
      </c>
      <c r="I34" s="8">
        <f>(MonthlyData!I34-MonthlyData!I33)/MonthlyData!I33</f>
        <v>1.3422349102557837E-2</v>
      </c>
      <c r="J34" s="8">
        <f>(MonthlyData!J34-MonthlyData!J33)/MonthlyData!J33</f>
        <v>9.40600590175317E-2</v>
      </c>
      <c r="K34" s="8">
        <f>(MonthlyData!K34-MonthlyData!K33)/MonthlyData!K33</f>
        <v>0.12305901230203094</v>
      </c>
    </row>
    <row r="35" spans="1:11" x14ac:dyDescent="0.2">
      <c r="A35" s="1">
        <v>41121</v>
      </c>
      <c r="B35" s="8">
        <f>(MonthlyData!B35-MonthlyData!B34)/MonthlyData!B34</f>
        <v>1.8382815353605194E-2</v>
      </c>
      <c r="C35" s="8">
        <f>(MonthlyData!C35-MonthlyData!C34)/MonthlyData!C34</f>
        <v>3.0499125763830189E-2</v>
      </c>
      <c r="D35" s="8">
        <f>(MonthlyData!D35-MonthlyData!D34)/MonthlyData!D34</f>
        <v>7.9281442892863443E-2</v>
      </c>
      <c r="E35" s="8">
        <f>(MonthlyData!E35-MonthlyData!E34)/MonthlyData!E34</f>
        <v>1.9011384865018542E-2</v>
      </c>
      <c r="F35" s="8">
        <f>(MonthlyData!F35-MonthlyData!F34)/MonthlyData!F34</f>
        <v>5.7833840888952194E-2</v>
      </c>
      <c r="G35" s="8">
        <f>(MonthlyData!G35-MonthlyData!G34)/MonthlyData!G34</f>
        <v>1.7924543773351537E-2</v>
      </c>
      <c r="H35" s="8">
        <f>(MonthlyData!H35-MonthlyData!H34)/MonthlyData!H34</f>
        <v>5.978841900909692E-2</v>
      </c>
      <c r="I35" s="8">
        <f>(MonthlyData!I35-MonthlyData!I34)/MonthlyData!I34</f>
        <v>9.3787622934158724E-2</v>
      </c>
      <c r="J35" s="8">
        <f>(MonthlyData!J35-MonthlyData!J34)/MonthlyData!J34</f>
        <v>2.2624577970705512E-2</v>
      </c>
      <c r="K35" s="8">
        <f>(MonthlyData!K35-MonthlyData!K34)/MonthlyData!K34</f>
        <v>-3.8881665468282645E-2</v>
      </c>
    </row>
    <row r="36" spans="1:11" x14ac:dyDescent="0.2">
      <c r="A36" s="1">
        <v>41152</v>
      </c>
      <c r="B36" s="8">
        <f>(MonthlyData!B36-MonthlyData!B35)/MonthlyData!B35</f>
        <v>-1.3086373391291447E-2</v>
      </c>
      <c r="C36" s="8">
        <f>(MonthlyData!C36-MonthlyData!C35)/MonthlyData!C35</f>
        <v>-1.5567877695954259E-2</v>
      </c>
      <c r="D36" s="8">
        <f>(MonthlyData!D36-MonthlyData!D35)/MonthlyData!D35</f>
        <v>3.3300483742435598E-2</v>
      </c>
      <c r="E36" s="8">
        <f>(MonthlyData!E36-MonthlyData!E35)/MonthlyData!E35</f>
        <v>-3.5074693851809592E-2</v>
      </c>
      <c r="F36" s="8">
        <f>(MonthlyData!F36-MonthlyData!F35)/MonthlyData!F35</f>
        <v>-3.4116653652515434E-2</v>
      </c>
      <c r="G36" s="8">
        <f>(MonthlyData!G36-MonthlyData!G35)/MonthlyData!G35</f>
        <v>3.3410552268917482E-2</v>
      </c>
      <c r="H36" s="8">
        <f>(MonthlyData!H36-MonthlyData!H35)/MonthlyData!H35</f>
        <v>5.5310137369440758E-2</v>
      </c>
      <c r="I36" s="8">
        <f>(MonthlyData!I36-MonthlyData!I35)/MonthlyData!I35</f>
        <v>1.781790653446334E-2</v>
      </c>
      <c r="J36" s="8">
        <f>(MonthlyData!J36-MonthlyData!J35)/MonthlyData!J35</f>
        <v>9.9561242917517279E-2</v>
      </c>
      <c r="K36" s="8">
        <f>(MonthlyData!K36-MonthlyData!K35)/MonthlyData!K35</f>
        <v>2.5816873755962338E-2</v>
      </c>
    </row>
    <row r="37" spans="1:11" x14ac:dyDescent="0.2">
      <c r="A37" s="1">
        <v>41180</v>
      </c>
      <c r="B37" s="8">
        <f>(MonthlyData!B37-MonthlyData!B36)/MonthlyData!B36</f>
        <v>7.4851957814182274E-2</v>
      </c>
      <c r="C37" s="8">
        <f>(MonthlyData!C37-MonthlyData!C36)/MonthlyData!C36</f>
        <v>-1.5814069190994624E-3</v>
      </c>
      <c r="D37" s="8">
        <f>(MonthlyData!D37-MonthlyData!D36)/MonthlyData!D36</f>
        <v>8.2941333670406028E-2</v>
      </c>
      <c r="E37" s="8">
        <f>(MonthlyData!E37-MonthlyData!E36)/MonthlyData!E36</f>
        <v>2.7684907252431067E-2</v>
      </c>
      <c r="F37" s="8">
        <f>(MonthlyData!F37-MonthlyData!F36)/MonthlyData!F36</f>
        <v>1.5495739045574193E-2</v>
      </c>
      <c r="G37" s="8">
        <f>(MonthlyData!G37-MonthlyData!G36)/MonthlyData!G36</f>
        <v>7.6992886697226939E-2</v>
      </c>
      <c r="H37" s="8">
        <f>(MonthlyData!H37-MonthlyData!H36)/MonthlyData!H36</f>
        <v>0.17749085067578169</v>
      </c>
      <c r="I37" s="8">
        <f>(MonthlyData!I37-MonthlyData!I36)/MonthlyData!I36</f>
        <v>8.247505331089329E-2</v>
      </c>
      <c r="J37" s="8">
        <f>(MonthlyData!J37-MonthlyData!J36)/MonthlyData!J36</f>
        <v>7.8468224404560319E-2</v>
      </c>
      <c r="K37" s="8">
        <f>(MonthlyData!K37-MonthlyData!K36)/MonthlyData!K36</f>
        <v>9.0479735263749042E-2</v>
      </c>
    </row>
    <row r="38" spans="1:11" x14ac:dyDescent="0.2">
      <c r="A38" s="1">
        <v>41213</v>
      </c>
      <c r="B38" s="8">
        <f>(MonthlyData!B38-MonthlyData!B37)/MonthlyData!B37</f>
        <v>4.0052500260460554E-2</v>
      </c>
      <c r="C38" s="8">
        <f>(MonthlyData!C38-MonthlyData!C37)/MonthlyData!C37</f>
        <v>0.11251112297561849</v>
      </c>
      <c r="D38" s="8">
        <f>(MonthlyData!D38-MonthlyData!D37)/MonthlyData!D37</f>
        <v>7.0364237451077073E-3</v>
      </c>
      <c r="E38" s="8">
        <f>(MonthlyData!E38-MonthlyData!E37)/MonthlyData!E37</f>
        <v>3.0348845152243487E-3</v>
      </c>
      <c r="F38" s="8">
        <f>(MonthlyData!F38-MonthlyData!F37)/MonthlyData!F37</f>
        <v>-6.6123896168147622E-2</v>
      </c>
      <c r="G38" s="8">
        <f>(MonthlyData!G38-MonthlyData!G37)/MonthlyData!G37</f>
        <v>1.0069213710316082E-2</v>
      </c>
      <c r="H38" s="8">
        <f>(MonthlyData!H38-MonthlyData!H37)/MonthlyData!H37</f>
        <v>-3.7635401280157549E-2</v>
      </c>
      <c r="I38" s="8">
        <f>(MonthlyData!I38-MonthlyData!I37)/MonthlyData!I37</f>
        <v>4.7813227619918214E-2</v>
      </c>
      <c r="J38" s="8">
        <f>(MonthlyData!J38-MonthlyData!J37)/MonthlyData!J37</f>
        <v>7.6144921316914638E-2</v>
      </c>
      <c r="K38" s="8">
        <f>(MonthlyData!K38-MonthlyData!K37)/MonthlyData!K37</f>
        <v>5.0756643506275984E-2</v>
      </c>
    </row>
    <row r="39" spans="1:11" x14ac:dyDescent="0.2">
      <c r="A39" s="1">
        <v>41243</v>
      </c>
      <c r="B39" s="8">
        <f>(MonthlyData!B39-MonthlyData!B38)/MonthlyData!B38</f>
        <v>1.8809633374283499E-2</v>
      </c>
      <c r="C39" s="8">
        <f>(MonthlyData!C39-MonthlyData!C38)/MonthlyData!C38</f>
        <v>-2.9914256462759223E-2</v>
      </c>
      <c r="D39" s="8">
        <f>(MonthlyData!D39-MonthlyData!D38)/MonthlyData!D38</f>
        <v>3.3187693511815067E-2</v>
      </c>
      <c r="E39" s="8">
        <f>(MonthlyData!E39-MonthlyData!E38)/MonthlyData!E38</f>
        <v>2.7987826070620132E-2</v>
      </c>
      <c r="F39" s="8">
        <f>(MonthlyData!F39-MonthlyData!F38)/MonthlyData!F38</f>
        <v>-5.8823735514627135E-2</v>
      </c>
      <c r="G39" s="8">
        <f>(MonthlyData!G39-MonthlyData!G38)/MonthlyData!G38</f>
        <v>-5.0420799975182092E-3</v>
      </c>
      <c r="H39" s="8">
        <f>(MonthlyData!H39-MonthlyData!H38)/MonthlyData!H38</f>
        <v>2.7933726491587877E-2</v>
      </c>
      <c r="I39" s="8">
        <f>(MonthlyData!I39-MonthlyData!I38)/MonthlyData!I38</f>
        <v>1.9417766255207757E-2</v>
      </c>
      <c r="J39" s="8">
        <f>(MonthlyData!J39-MonthlyData!J38)/MonthlyData!J38</f>
        <v>9.3020089188019531E-2</v>
      </c>
      <c r="K39" s="8">
        <f>(MonthlyData!K39-MonthlyData!K38)/MonthlyData!K38</f>
        <v>3.3975111547885718E-2</v>
      </c>
    </row>
    <row r="40" spans="1:11" x14ac:dyDescent="0.2">
      <c r="A40" s="1">
        <v>41274</v>
      </c>
      <c r="B40" s="8">
        <f>(MonthlyData!B40-MonthlyData!B39)/MonthlyData!B39</f>
        <v>2.8626900516508201E-2</v>
      </c>
      <c r="C40" s="8">
        <f>(MonthlyData!C40-MonthlyData!C39)/MonthlyData!C39</f>
        <v>4.4061871310313035E-2</v>
      </c>
      <c r="D40" s="8">
        <f>(MonthlyData!D40-MonthlyData!D39)/MonthlyData!D39</f>
        <v>5.9174919940403192E-3</v>
      </c>
      <c r="E40" s="8">
        <f>(MonthlyData!E40-MonthlyData!E39)/MonthlyData!E39</f>
        <v>-3.8094824722229699E-2</v>
      </c>
      <c r="F40" s="8">
        <f>(MonthlyData!F40-MonthlyData!F39)/MonthlyData!F39</f>
        <v>1.9675764779811557E-2</v>
      </c>
      <c r="G40" s="8">
        <f>(MonthlyData!G40-MonthlyData!G39)/MonthlyData!G39</f>
        <v>2.5339004290498364E-3</v>
      </c>
      <c r="H40" s="8">
        <f>(MonthlyData!H40-MonthlyData!H39)/MonthlyData!H39</f>
        <v>-9.0582125324776743E-3</v>
      </c>
      <c r="I40" s="8">
        <f>(MonthlyData!I40-MonthlyData!I39)/MonthlyData!I39</f>
        <v>7.1427089253747519E-3</v>
      </c>
      <c r="J40" s="8">
        <f>(MonthlyData!J40-MonthlyData!J39)/MonthlyData!J39</f>
        <v>8.8382771032341059E-2</v>
      </c>
      <c r="K40" s="8">
        <f>(MonthlyData!K40-MonthlyData!K39)/MonthlyData!K39</f>
        <v>3.5285890786645673E-2</v>
      </c>
    </row>
    <row r="41" spans="1:11" x14ac:dyDescent="0.2">
      <c r="A41" s="1">
        <v>41305</v>
      </c>
      <c r="B41" s="8">
        <f>(MonthlyData!B41-MonthlyData!B40)/MonthlyData!B40</f>
        <v>4.7341448383280346E-2</v>
      </c>
      <c r="C41" s="8">
        <f>(MonthlyData!C41-MonthlyData!C40)/MonthlyData!C40</f>
        <v>5.907066367628009E-2</v>
      </c>
      <c r="D41" s="8">
        <f>(MonthlyData!D41-MonthlyData!D40)/MonthlyData!D40</f>
        <v>6.8907042605417149E-2</v>
      </c>
      <c r="E41" s="8">
        <f>(MonthlyData!E41-MonthlyData!E40)/MonthlyData!E40</f>
        <v>1.696256239628895E-2</v>
      </c>
      <c r="F41" s="8">
        <f>(MonthlyData!F41-MonthlyData!F40)/MonthlyData!F40</f>
        <v>6.8104609954323533E-2</v>
      </c>
      <c r="G41" s="8">
        <f>(MonthlyData!G41-MonthlyData!G40)/MonthlyData!G40</f>
        <v>6.9924234280100667E-2</v>
      </c>
      <c r="H41" s="8">
        <f>(MonthlyData!H41-MonthlyData!H40)/MonthlyData!H40</f>
        <v>2.0110230311691339E-2</v>
      </c>
      <c r="I41" s="8">
        <f>(MonthlyData!I41-MonthlyData!I40)/MonthlyData!I40</f>
        <v>4.0189469812168428E-2</v>
      </c>
      <c r="J41" s="8">
        <f>(MonthlyData!J41-MonthlyData!J40)/MonthlyData!J40</f>
        <v>-3.7596167210353866E-2</v>
      </c>
      <c r="K41" s="8">
        <f>(MonthlyData!K41-MonthlyData!K40)/MonthlyData!K40</f>
        <v>8.9321046368786058E-2</v>
      </c>
    </row>
    <row r="42" spans="1:11" x14ac:dyDescent="0.2">
      <c r="A42" s="1">
        <v>41333</v>
      </c>
      <c r="B42" s="8">
        <f>(MonthlyData!B42-MonthlyData!B41)/MonthlyData!B41</f>
        <v>-2.9671885746652193E-2</v>
      </c>
      <c r="C42" s="8">
        <f>(MonthlyData!C42-MonthlyData!C41)/MonthlyData!C41</f>
        <v>-3.8521191875204953E-2</v>
      </c>
      <c r="D42" s="8">
        <f>(MonthlyData!D42-MonthlyData!D41)/MonthlyData!D41</f>
        <v>-5.1886931248572798E-2</v>
      </c>
      <c r="E42" s="8">
        <f>(MonthlyData!E42-MonthlyData!E41)/MonthlyData!E41</f>
        <v>1.2130156984781875E-2</v>
      </c>
      <c r="F42" s="8">
        <f>(MonthlyData!F42-MonthlyData!F41)/MonthlyData!F41</f>
        <v>4.2511039642219193E-3</v>
      </c>
      <c r="G42" s="8">
        <f>(MonthlyData!G42-MonthlyData!G41)/MonthlyData!G41</f>
        <v>-1.2598634430432638E-2</v>
      </c>
      <c r="H42" s="8">
        <f>(MonthlyData!H42-MonthlyData!H41)/MonthlyData!H41</f>
        <v>-3.3154263674943146E-2</v>
      </c>
      <c r="I42" s="8">
        <f>(MonthlyData!I42-MonthlyData!I41)/MonthlyData!I41</f>
        <v>-1.3636561269595799E-2</v>
      </c>
      <c r="J42" s="8">
        <f>(MonthlyData!J42-MonthlyData!J41)/MonthlyData!J41</f>
        <v>5.93767122996742E-2</v>
      </c>
      <c r="K42" s="8">
        <f>(MonthlyData!K42-MonthlyData!K41)/MonthlyData!K41</f>
        <v>-2.4642437723111851E-2</v>
      </c>
    </row>
    <row r="43" spans="1:11" x14ac:dyDescent="0.2">
      <c r="A43" s="1">
        <v>41362</v>
      </c>
      <c r="B43" s="8">
        <f>(MonthlyData!B43-MonthlyData!B42)/MonthlyData!B42</f>
        <v>-2.7968724364749967E-2</v>
      </c>
      <c r="C43" s="8">
        <f>(MonthlyData!C43-MonthlyData!C42)/MonthlyData!C42</f>
        <v>-8.2874470692249319E-2</v>
      </c>
      <c r="D43" s="8">
        <f>(MonthlyData!D43-MonthlyData!D42)/MonthlyData!D42</f>
        <v>-4.9750867559629763E-2</v>
      </c>
      <c r="E43" s="8">
        <f>(MonthlyData!E43-MonthlyData!E42)/MonthlyData!E42</f>
        <v>3.3627591098829041E-2</v>
      </c>
      <c r="F43" s="8">
        <f>(MonthlyData!F43-MonthlyData!F42)/MonthlyData!F42</f>
        <v>-7.7249041024087528E-2</v>
      </c>
      <c r="G43" s="8">
        <f>(MonthlyData!G43-MonthlyData!G42)/MonthlyData!G42</f>
        <v>8.7464676373016897E-3</v>
      </c>
      <c r="H43" s="8">
        <f>(MonthlyData!H43-MonthlyData!H42)/MonthlyData!H42</f>
        <v>-1.5756504711340415E-2</v>
      </c>
      <c r="I43" s="8">
        <f>(MonthlyData!I43-MonthlyData!I42)/MonthlyData!I42</f>
        <v>4.3778710432316202E-2</v>
      </c>
      <c r="J43" s="8">
        <f>(MonthlyData!J43-MonthlyData!J42)/MonthlyData!J42</f>
        <v>-5.9773543751603771E-2</v>
      </c>
      <c r="K43" s="8">
        <f>(MonthlyData!K43-MonthlyData!K42)/MonthlyData!K42</f>
        <v>-4.1422876364926635E-2</v>
      </c>
    </row>
    <row r="44" spans="1:11" x14ac:dyDescent="0.2">
      <c r="A44" s="1">
        <v>41394</v>
      </c>
      <c r="B44" s="8">
        <f>(MonthlyData!B44-MonthlyData!B43)/MonthlyData!B43</f>
        <v>2.0296058420024223E-2</v>
      </c>
      <c r="C44" s="8">
        <f>(MonthlyData!C44-MonthlyData!C43)/MonthlyData!C43</f>
        <v>3.3402110675145445E-2</v>
      </c>
      <c r="D44" s="8">
        <f>(MonthlyData!D44-MonthlyData!D43)/MonthlyData!D43</f>
        <v>1.9196985908418028E-2</v>
      </c>
      <c r="E44" s="8">
        <f>(MonthlyData!E44-MonthlyData!E43)/MonthlyData!E43</f>
        <v>5.88226102557215E-3</v>
      </c>
      <c r="F44" s="8">
        <f>(MonthlyData!F44-MonthlyData!F43)/MonthlyData!F43</f>
        <v>6.1603352181979827E-2</v>
      </c>
      <c r="G44" s="8">
        <f>(MonthlyData!G44-MonthlyData!G43)/MonthlyData!G43</f>
        <v>4.2570088625495904E-2</v>
      </c>
      <c r="H44" s="8">
        <f>(MonthlyData!H44-MonthlyData!H43)/MonthlyData!H43</f>
        <v>5.8380492612354562E-2</v>
      </c>
      <c r="I44" s="8">
        <f>(MonthlyData!I44-MonthlyData!I43)/MonthlyData!I43</f>
        <v>3.0905064832502462E-2</v>
      </c>
      <c r="J44" s="8">
        <f>(MonthlyData!J44-MonthlyData!J43)/MonthlyData!J43</f>
        <v>-4.6102345415778304E-2</v>
      </c>
      <c r="K44" s="8">
        <f>(MonthlyData!K44-MonthlyData!K43)/MonthlyData!K43</f>
        <v>3.4462692797488037E-2</v>
      </c>
    </row>
    <row r="45" spans="1:11" x14ac:dyDescent="0.2">
      <c r="A45" s="1">
        <v>41425</v>
      </c>
      <c r="B45" s="8">
        <f>(MonthlyData!B45-MonthlyData!B44)/MonthlyData!B44</f>
        <v>-8.7428917929527842E-3</v>
      </c>
      <c r="C45" s="8">
        <f>(MonthlyData!C45-MonthlyData!C44)/MonthlyData!C44</f>
        <v>6.1584537584079335E-2</v>
      </c>
      <c r="D45" s="8">
        <f>(MonthlyData!D45-MonthlyData!D44)/MonthlyData!D44</f>
        <v>-3.8032662805430342E-2</v>
      </c>
      <c r="E45" s="8">
        <f>(MonthlyData!E45-MonthlyData!E44)/MonthlyData!E44</f>
        <v>-3.3918299218689302E-2</v>
      </c>
      <c r="F45" s="8">
        <f>(MonthlyData!F45-MonthlyData!F44)/MonthlyData!F44</f>
        <v>-6.8928219879843586E-2</v>
      </c>
      <c r="G45" s="8">
        <f>(MonthlyData!G45-MonthlyData!G44)/MonthlyData!G44</f>
        <v>-2.8787068555671758E-2</v>
      </c>
      <c r="H45" s="8">
        <f>(MonthlyData!H45-MonthlyData!H44)/MonthlyData!H44</f>
        <v>-2.6689674337668553E-2</v>
      </c>
      <c r="I45" s="8">
        <f>(MonthlyData!I45-MonthlyData!I44)/MonthlyData!I44</f>
        <v>-5.7815563169075185E-2</v>
      </c>
      <c r="J45" s="8">
        <f>(MonthlyData!J45-MonthlyData!J44)/MonthlyData!J44</f>
        <v>-6.500096115589038E-2</v>
      </c>
      <c r="K45" s="8">
        <f>(MonthlyData!K45-MonthlyData!K44)/MonthlyData!K44</f>
        <v>2.278893624704802E-2</v>
      </c>
    </row>
    <row r="46" spans="1:11" x14ac:dyDescent="0.2">
      <c r="A46" s="1">
        <v>41453</v>
      </c>
      <c r="B46" s="8">
        <f>(MonthlyData!B46-MonthlyData!B45)/MonthlyData!B45</f>
        <v>-5.7334070848831908E-2</v>
      </c>
      <c r="C46" s="8">
        <f>(MonthlyData!C46-MonthlyData!C45)/MonthlyData!C45</f>
        <v>-6.3530971541331249E-2</v>
      </c>
      <c r="D46" s="8">
        <f>(MonthlyData!D46-MonthlyData!D45)/MonthlyData!D45</f>
        <v>-4.1893954055750096E-2</v>
      </c>
      <c r="E46" s="8">
        <f>(MonthlyData!E46-MonthlyData!E45)/MonthlyData!E45</f>
        <v>-4.2715154204046493E-2</v>
      </c>
      <c r="F46" s="8">
        <f>(MonthlyData!F46-MonthlyData!F45)/MonthlyData!F45</f>
        <v>-1.9976116729484617E-2</v>
      </c>
      <c r="G46" s="8">
        <f>(MonthlyData!G46-MonthlyData!G45)/MonthlyData!G45</f>
        <v>-8.2400048622284991E-2</v>
      </c>
      <c r="H46" s="8">
        <f>(MonthlyData!H46-MonthlyData!H45)/MonthlyData!H45</f>
        <v>-5.7058462127202822E-2</v>
      </c>
      <c r="I46" s="8">
        <f>(MonthlyData!I46-MonthlyData!I45)/MonthlyData!I45</f>
        <v>-4.1557042440638688E-2</v>
      </c>
      <c r="J46" s="8">
        <f>(MonthlyData!J46-MonthlyData!J45)/MonthlyData!J45</f>
        <v>-7.8432122553777531E-2</v>
      </c>
      <c r="K46" s="8">
        <f>(MonthlyData!K46-MonthlyData!K45)/MonthlyData!K45</f>
        <v>-5.3068056780036774E-2</v>
      </c>
    </row>
    <row r="47" spans="1:11" x14ac:dyDescent="0.2">
      <c r="A47" s="1">
        <v>41486</v>
      </c>
      <c r="B47" s="8">
        <f>(MonthlyData!B47-MonthlyData!B46)/MonthlyData!B46</f>
        <v>5.207978018804546E-2</v>
      </c>
      <c r="C47" s="8">
        <f>(MonthlyData!C47-MonthlyData!C46)/MonthlyData!C46</f>
        <v>5.8984278541443613E-2</v>
      </c>
      <c r="D47" s="8">
        <f>(MonthlyData!D47-MonthlyData!D46)/MonthlyData!D46</f>
        <v>3.6121845932504948E-2</v>
      </c>
      <c r="E47" s="8">
        <f>(MonthlyData!E47-MonthlyData!E46)/MonthlyData!E46</f>
        <v>2.470074479999209E-2</v>
      </c>
      <c r="F47" s="8">
        <f>(MonthlyData!F47-MonthlyData!F46)/MonthlyData!F46</f>
        <v>-4.1966437816287616E-2</v>
      </c>
      <c r="G47" s="8">
        <f>(MonthlyData!G47-MonthlyData!G46)/MonthlyData!G46</f>
        <v>3.4873597399737423E-2</v>
      </c>
      <c r="H47" s="8">
        <f>(MonthlyData!H47-MonthlyData!H46)/MonthlyData!H46</f>
        <v>4.5357193247230018E-2</v>
      </c>
      <c r="I47" s="8">
        <f>(MonthlyData!I47-MonthlyData!I46)/MonthlyData!I46</f>
        <v>4.852340985992952E-2</v>
      </c>
      <c r="J47" s="8">
        <f>(MonthlyData!J47-MonthlyData!J46)/MonthlyData!J46</f>
        <v>-4.8354042906430798E-2</v>
      </c>
      <c r="K47" s="8">
        <f>(MonthlyData!K47-MonthlyData!K46)/MonthlyData!K46</f>
        <v>7.677960856536864E-2</v>
      </c>
    </row>
    <row r="48" spans="1:11" x14ac:dyDescent="0.2">
      <c r="A48" s="1">
        <v>41516</v>
      </c>
      <c r="B48" s="8">
        <f>(MonthlyData!B48-MonthlyData!B47)/MonthlyData!B47</f>
        <v>-4.3429139731476184E-3</v>
      </c>
      <c r="C48" s="8">
        <f>(MonthlyData!C48-MonthlyData!C47)/MonthlyData!C47</f>
        <v>-7.3809227707996375E-2</v>
      </c>
      <c r="D48" s="8">
        <f>(MonthlyData!D48-MonthlyData!D47)/MonthlyData!D47</f>
        <v>1.5595671640768125E-2</v>
      </c>
      <c r="E48" s="8">
        <f>(MonthlyData!E48-MonthlyData!E47)/MonthlyData!E47</f>
        <v>-3.5769591682097125E-2</v>
      </c>
      <c r="F48" s="8">
        <f>(MonthlyData!F48-MonthlyData!F47)/MonthlyData!F47</f>
        <v>-4.7559598546717104E-2</v>
      </c>
      <c r="G48" s="8">
        <f>(MonthlyData!G48-MonthlyData!G47)/MonthlyData!G47</f>
        <v>2.4191727199321045E-2</v>
      </c>
      <c r="H48" s="8">
        <f>(MonthlyData!H48-MonthlyData!H47)/MonthlyData!H47</f>
        <v>-5.9917743902069061E-2</v>
      </c>
      <c r="I48" s="8">
        <f>(MonthlyData!I48-MonthlyData!I47)/MonthlyData!I47</f>
        <v>-9.859167116944749E-2</v>
      </c>
      <c r="J48" s="8">
        <f>(MonthlyData!J48-MonthlyData!J47)/MonthlyData!J47</f>
        <v>0</v>
      </c>
      <c r="K48" s="8">
        <f>(MonthlyData!K48-MonthlyData!K47)/MonthlyData!K47</f>
        <v>-5.5599599885881978E-2</v>
      </c>
    </row>
    <row r="49" spans="1:11" x14ac:dyDescent="0.2">
      <c r="A49" s="1">
        <v>41547</v>
      </c>
      <c r="B49" s="8">
        <f>(MonthlyData!B49-MonthlyData!B48)/MonthlyData!B48</f>
        <v>5.6820211336513375E-2</v>
      </c>
      <c r="C49" s="8">
        <f>(MonthlyData!C49-MonthlyData!C48)/MonthlyData!C48</f>
        <v>0.14798590130916406</v>
      </c>
      <c r="D49" s="8">
        <f>(MonthlyData!D49-MonthlyData!D48)/MonthlyData!D48</f>
        <v>7.2318304922696808E-2</v>
      </c>
      <c r="E49" s="8">
        <f>(MonthlyData!E49-MonthlyData!E48)/MonthlyData!E48</f>
        <v>2.7241167792853679E-2</v>
      </c>
      <c r="F49" s="8">
        <f>(MonthlyData!F49-MonthlyData!F48)/MonthlyData!F48</f>
        <v>9.3295875601604211E-2</v>
      </c>
      <c r="G49" s="8">
        <f>(MonthlyData!G49-MonthlyData!G48)/MonthlyData!G48</f>
        <v>4.9792480329158083E-2</v>
      </c>
      <c r="H49" s="8">
        <f>(MonthlyData!H49-MonthlyData!H48)/MonthlyData!H48</f>
        <v>5.9982835775148638E-2</v>
      </c>
      <c r="I49" s="8">
        <f>(MonthlyData!I49-MonthlyData!I48)/MonthlyData!I48</f>
        <v>4.8100214067897967E-2</v>
      </c>
      <c r="J49" s="8">
        <f>(MonthlyData!J49-MonthlyData!J48)/MonthlyData!J48</f>
        <v>5.4878015537685745E-2</v>
      </c>
      <c r="K49" s="8">
        <f>(MonthlyData!K49-MonthlyData!K48)/MonthlyData!K48</f>
        <v>3.2275890222857338E-2</v>
      </c>
    </row>
    <row r="50" spans="1:11" x14ac:dyDescent="0.2">
      <c r="A50" s="1">
        <v>41578</v>
      </c>
      <c r="B50" s="8">
        <f>(MonthlyData!B50-MonthlyData!B49)/MonthlyData!B49</f>
        <v>1.6804821242137991E-2</v>
      </c>
      <c r="C50" s="8">
        <f>(MonthlyData!C50-MonthlyData!C49)/MonthlyData!C49</f>
        <v>1.1842624676520933E-2</v>
      </c>
      <c r="D50" s="8">
        <f>(MonthlyData!D50-MonthlyData!D49)/MonthlyData!D49</f>
        <v>2.6249539168656924E-2</v>
      </c>
      <c r="E50" s="8">
        <f>(MonthlyData!E50-MonthlyData!E49)/MonthlyData!E49</f>
        <v>-1.1876483758324142E-2</v>
      </c>
      <c r="F50" s="8">
        <f>(MonthlyData!F50-MonthlyData!F49)/MonthlyData!F49</f>
        <v>-9.6615628432904187E-3</v>
      </c>
      <c r="G50" s="8">
        <f>(MonthlyData!G50-MonthlyData!G49)/MonthlyData!G49</f>
        <v>2.8539600037496345E-2</v>
      </c>
      <c r="H50" s="8">
        <f>(MonthlyData!H50-MonthlyData!H49)/MonthlyData!H49</f>
        <v>-4.070907975777583E-2</v>
      </c>
      <c r="I50" s="8">
        <f>(MonthlyData!I50-MonthlyData!I49)/MonthlyData!I49</f>
        <v>-2.893859916480896E-2</v>
      </c>
      <c r="J50" s="8">
        <f>(MonthlyData!J50-MonthlyData!J49)/MonthlyData!J49</f>
        <v>2.7096867554563295E-2</v>
      </c>
      <c r="K50" s="8">
        <f>(MonthlyData!K50-MonthlyData!K49)/MonthlyData!K49</f>
        <v>1.6990716223761134E-2</v>
      </c>
    </row>
    <row r="51" spans="1:11" x14ac:dyDescent="0.2">
      <c r="A51" s="1">
        <v>41607</v>
      </c>
      <c r="B51" s="8">
        <f>(MonthlyData!B51-MonthlyData!B50)/MonthlyData!B50</f>
        <v>2.9743699000629786E-2</v>
      </c>
      <c r="C51" s="8">
        <f>(MonthlyData!C51-MonthlyData!C50)/MonthlyData!C50</f>
        <v>6.7608767899200894E-2</v>
      </c>
      <c r="D51" s="8">
        <f>(MonthlyData!D51-MonthlyData!D50)/MonthlyData!D50</f>
        <v>1.1550609944136763E-2</v>
      </c>
      <c r="E51" s="8">
        <f>(MonthlyData!E51-MonthlyData!E50)/MonthlyData!E50</f>
        <v>1.8429440345633194E-2</v>
      </c>
      <c r="F51" s="8">
        <f>(MonthlyData!F51-MonthlyData!F50)/MonthlyData!F50</f>
        <v>1.2190919903768054E-3</v>
      </c>
      <c r="G51" s="8">
        <f>(MonthlyData!G51-MonthlyData!G50)/MonthlyData!G50</f>
        <v>-1.9379231534218146E-2</v>
      </c>
      <c r="H51" s="8">
        <f>(MonthlyData!H51-MonthlyData!H50)/MonthlyData!H50</f>
        <v>-1.3058280768107952E-2</v>
      </c>
      <c r="I51" s="8">
        <f>(MonthlyData!I51-MonthlyData!I50)/MonthlyData!I50</f>
        <v>8.8303135673063124E-3</v>
      </c>
      <c r="J51" s="8">
        <f>(MonthlyData!J51-MonthlyData!J50)/MonthlyData!J50</f>
        <v>-3.8342709350187272E-3</v>
      </c>
      <c r="K51" s="8">
        <f>(MonthlyData!K51-MonthlyData!K50)/MonthlyData!K50</f>
        <v>1.700168164427121E-2</v>
      </c>
    </row>
    <row r="52" spans="1:11" x14ac:dyDescent="0.2">
      <c r="A52" s="1">
        <v>41639</v>
      </c>
      <c r="B52" s="8">
        <f>(MonthlyData!B52-MonthlyData!B51)/MonthlyData!B51</f>
        <v>-2.3944304536991326E-2</v>
      </c>
      <c r="C52" s="8">
        <f>(MonthlyData!C52-MonthlyData!C51)/MonthlyData!C51</f>
        <v>-1.2180927374603812E-3</v>
      </c>
      <c r="D52" s="8">
        <f>(MonthlyData!D52-MonthlyData!D51)/MonthlyData!D51</f>
        <v>-1.631125814387215E-3</v>
      </c>
      <c r="E52" s="8">
        <f>(MonthlyData!E52-MonthlyData!E51)/MonthlyData!E51</f>
        <v>-2.7290243569275126E-2</v>
      </c>
      <c r="F52" s="8">
        <f>(MonthlyData!F52-MonthlyData!F51)/MonthlyData!F51</f>
        <v>-4.6284872447614658E-2</v>
      </c>
      <c r="G52" s="8">
        <f>(MonthlyData!G52-MonthlyData!G51)/MonthlyData!G51</f>
        <v>-6.3242472729574083E-3</v>
      </c>
      <c r="H52" s="8">
        <f>(MonthlyData!H52-MonthlyData!H51)/MonthlyData!H51</f>
        <v>-2.4255059902233946E-2</v>
      </c>
      <c r="I52" s="8">
        <f>(MonthlyData!I52-MonthlyData!I51)/MonthlyData!I51</f>
        <v>-2.7351894116070509E-2</v>
      </c>
      <c r="J52" s="8">
        <f>(MonthlyData!J52-MonthlyData!J51)/MonthlyData!J51</f>
        <v>9.617521669731054E-3</v>
      </c>
      <c r="K52" s="8">
        <f>(MonthlyData!K52-MonthlyData!K51)/MonthlyData!K51</f>
        <v>-2.4621524829215546E-2</v>
      </c>
    </row>
    <row r="53" spans="1:11" x14ac:dyDescent="0.2">
      <c r="A53" s="1">
        <v>41670</v>
      </c>
      <c r="B53" s="8">
        <f>(MonthlyData!B53-MonthlyData!B52)/MonthlyData!B52</f>
        <v>-5.4533260135485109E-2</v>
      </c>
      <c r="C53" s="8">
        <f>(MonthlyData!C53-MonthlyData!C52)/MonthlyData!C52</f>
        <v>-1.8280123583934101E-2</v>
      </c>
      <c r="D53" s="8">
        <f>(MonthlyData!D53-MonthlyData!D52)/MonthlyData!D52</f>
        <v>-6.1274323272823977E-2</v>
      </c>
      <c r="E53" s="8">
        <f>(MonthlyData!E53-MonthlyData!E52)/MonthlyData!E52</f>
        <v>-4.4045544725265222E-2</v>
      </c>
      <c r="F53" s="8">
        <f>(MonthlyData!F53-MonthlyData!F52)/MonthlyData!F52</f>
        <v>-9.067714720026214E-2</v>
      </c>
      <c r="G53" s="8">
        <f>(MonthlyData!G53-MonthlyData!G52)/MonthlyData!G52</f>
        <v>-3.3412848735864337E-2</v>
      </c>
      <c r="H53" s="8">
        <f>(MonthlyData!H53-MonthlyData!H52)/MonthlyData!H52</f>
        <v>-5.5366650851389095E-2</v>
      </c>
      <c r="I53" s="8">
        <f>(MonthlyData!I53-MonthlyData!I52)/MonthlyData!I52</f>
        <v>-0.10123741200821536</v>
      </c>
      <c r="J53" s="8">
        <f>(MonthlyData!J53-MonthlyData!J52)/MonthlyData!J52</f>
        <v>2.6666533250615358E-2</v>
      </c>
      <c r="K53" s="8">
        <f>(MonthlyData!K53-MonthlyData!K52)/MonthlyData!K52</f>
        <v>-3.4260381177745165E-2</v>
      </c>
    </row>
    <row r="54" spans="1:11" x14ac:dyDescent="0.2">
      <c r="A54" s="1">
        <v>41698</v>
      </c>
      <c r="B54" s="8">
        <f>(MonthlyData!B54-MonthlyData!B53)/MonthlyData!B53</f>
        <v>3.6970172899443293E-2</v>
      </c>
      <c r="C54" s="8">
        <f>(MonthlyData!C54-MonthlyData!C53)/MonthlyData!C53</f>
        <v>-1.8634311979792123E-2</v>
      </c>
      <c r="D54" s="8">
        <f>(MonthlyData!D54-MonthlyData!D53)/MonthlyData!D53</f>
        <v>5.8311197350373045E-2</v>
      </c>
      <c r="E54" s="8">
        <f>(MonthlyData!E54-MonthlyData!E53)/MonthlyData!E53</f>
        <v>3.3276245716172909E-2</v>
      </c>
      <c r="F54" s="8">
        <f>(MonthlyData!F54-MonthlyData!F53)/MonthlyData!F53</f>
        <v>2.3876624567044657E-2</v>
      </c>
      <c r="G54" s="8">
        <f>(MonthlyData!G54-MonthlyData!G53)/MonthlyData!G53</f>
        <v>3.5390922518037916E-2</v>
      </c>
      <c r="H54" s="8">
        <f>(MonthlyData!H54-MonthlyData!H53)/MonthlyData!H53</f>
        <v>4.0669689570980085E-2</v>
      </c>
      <c r="I54" s="8">
        <f>(MonthlyData!I54-MonthlyData!I53)/MonthlyData!I53</f>
        <v>4.6306710658517158E-2</v>
      </c>
      <c r="J54" s="8">
        <f>(MonthlyData!J54-MonthlyData!J53)/MonthlyData!J53</f>
        <v>-7.6313558083096278E-3</v>
      </c>
      <c r="K54" s="8">
        <f>(MonthlyData!K54-MonthlyData!K53)/MonthlyData!K53</f>
        <v>1.9637596018161525E-2</v>
      </c>
    </row>
    <row r="55" spans="1:11" x14ac:dyDescent="0.2">
      <c r="A55" s="1">
        <v>41729</v>
      </c>
      <c r="B55" s="8">
        <f>(MonthlyData!B55-MonthlyData!B54)/MonthlyData!B54</f>
        <v>-2.6460899915102306E-2</v>
      </c>
      <c r="C55" s="8">
        <f>(MonthlyData!C55-MonthlyData!C54)/MonthlyData!C54</f>
        <v>-8.4813705219629609E-2</v>
      </c>
      <c r="D55" s="8">
        <f>(MonthlyData!D55-MonthlyData!D54)/MonthlyData!D54</f>
        <v>5.7566367979411205E-2</v>
      </c>
      <c r="E55" s="8">
        <f>(MonthlyData!E55-MonthlyData!E54)/MonthlyData!E54</f>
        <v>-1.7740036817230763E-2</v>
      </c>
      <c r="F55" s="8">
        <f>(MonthlyData!F55-MonthlyData!F54)/MonthlyData!F54</f>
        <v>7.1330313909393858E-2</v>
      </c>
      <c r="G55" s="8">
        <f>(MonthlyData!G55-MonthlyData!G54)/MonthlyData!G54</f>
        <v>-4.9237619927794505E-4</v>
      </c>
      <c r="H55" s="8">
        <f>(MonthlyData!H55-MonthlyData!H54)/MonthlyData!H54</f>
        <v>4.0229923582249701E-2</v>
      </c>
      <c r="I55" s="8">
        <f>(MonthlyData!I55-MonthlyData!I54)/MonthlyData!I54</f>
        <v>1.1962691122815519E-2</v>
      </c>
      <c r="J55" s="8">
        <f>(MonthlyData!J55-MonthlyData!J54)/MonthlyData!J54</f>
        <v>1.523767432724403E-2</v>
      </c>
      <c r="K55" s="8">
        <f>(MonthlyData!K55-MonthlyData!K54)/MonthlyData!K54</f>
        <v>-4.1332623990271856E-2</v>
      </c>
    </row>
    <row r="56" spans="1:11" x14ac:dyDescent="0.2">
      <c r="A56" s="1">
        <v>41759</v>
      </c>
      <c r="B56" s="8">
        <f>(MonthlyData!B56-MonthlyData!B55)/MonthlyData!B55</f>
        <v>1.616202644680466E-4</v>
      </c>
      <c r="C56" s="8">
        <f>(MonthlyData!C56-MonthlyData!C55)/MonthlyData!C55</f>
        <v>2.3637173989887517E-2</v>
      </c>
      <c r="D56" s="8">
        <f>(MonthlyData!D56-MonthlyData!D55)/MonthlyData!D55</f>
        <v>2.6438473134585628E-2</v>
      </c>
      <c r="E56" s="8">
        <f>(MonthlyData!E56-MonthlyData!E55)/MonthlyData!E55</f>
        <v>5.9829217881624687E-2</v>
      </c>
      <c r="F56" s="8">
        <f>(MonthlyData!F56-MonthlyData!F55)/MonthlyData!F55</f>
        <v>9.2865557090151943E-2</v>
      </c>
      <c r="G56" s="8">
        <f>(MonthlyData!G56-MonthlyData!G55)/MonthlyData!G55</f>
        <v>2.2671787208287185E-2</v>
      </c>
      <c r="H56" s="8">
        <f>(MonthlyData!H56-MonthlyData!H55)/MonthlyData!H55</f>
        <v>2.099315962276423E-2</v>
      </c>
      <c r="I56" s="8">
        <f>(MonthlyData!I56-MonthlyData!I55)/MonthlyData!I55</f>
        <v>5.6736629516380435E-2</v>
      </c>
      <c r="J56" s="8">
        <f>(MonthlyData!J56-MonthlyData!J55)/MonthlyData!J55</f>
        <v>1.8767261769443752E-3</v>
      </c>
      <c r="K56" s="8">
        <f>(MonthlyData!K56-MonthlyData!K55)/MonthlyData!K55</f>
        <v>5.2410177306690744E-3</v>
      </c>
    </row>
    <row r="57" spans="1:11" x14ac:dyDescent="0.2">
      <c r="A57" s="1">
        <v>41789</v>
      </c>
      <c r="B57" s="8">
        <f>(MonthlyData!B57-MonthlyData!B56)/MonthlyData!B56</f>
        <v>5.4445020982050736E-2</v>
      </c>
      <c r="C57" s="8">
        <f>(MonthlyData!C57-MonthlyData!C56)/MonthlyData!C56</f>
        <v>-3.552285864424605E-2</v>
      </c>
      <c r="D57" s="8">
        <f>(MonthlyData!D57-MonthlyData!D56)/MonthlyData!D56</f>
        <v>0.1324285129093192</v>
      </c>
      <c r="E57" s="8">
        <f>(MonthlyData!E57-MonthlyData!E56)/MonthlyData!E56</f>
        <v>3.7741540625532581E-2</v>
      </c>
      <c r="F57" s="8">
        <f>(MonthlyData!F57-MonthlyData!F56)/MonthlyData!F56</f>
        <v>3.8049897838955092E-2</v>
      </c>
      <c r="G57" s="8">
        <f>(MonthlyData!G57-MonthlyData!G56)/MonthlyData!G56</f>
        <v>2.2307890640981303E-2</v>
      </c>
      <c r="H57" s="8">
        <f>(MonthlyData!H57-MonthlyData!H56)/MonthlyData!H56</f>
        <v>9.3075106073779196E-2</v>
      </c>
      <c r="I57" s="8">
        <f>(MonthlyData!I57-MonthlyData!I56)/MonthlyData!I56</f>
        <v>4.8098715555017352E-2</v>
      </c>
      <c r="J57" s="8">
        <f>(MonthlyData!J57-MonthlyData!J56)/MonthlyData!J56</f>
        <v>9.3612255046322725E-3</v>
      </c>
      <c r="K57" s="8">
        <f>(MonthlyData!K57-MonthlyData!K56)/MonthlyData!K56</f>
        <v>4.3511031261876637E-2</v>
      </c>
    </row>
    <row r="58" spans="1:11" x14ac:dyDescent="0.2">
      <c r="A58" s="1">
        <v>41820</v>
      </c>
      <c r="B58" s="8">
        <f>(MonthlyData!B58-MonthlyData!B57)/MonthlyData!B57</f>
        <v>1.3227679966806776E-2</v>
      </c>
      <c r="C58" s="8">
        <f>(MonthlyData!C58-MonthlyData!C57)/MonthlyData!C57</f>
        <v>2.5498528931023202E-2</v>
      </c>
      <c r="D58" s="8">
        <f>(MonthlyData!D58-MonthlyData!D57)/MonthlyData!D57</f>
        <v>-7.2200525967501478E-3</v>
      </c>
      <c r="E58" s="8">
        <f>(MonthlyData!E58-MonthlyData!E57)/MonthlyData!E57</f>
        <v>-3.1344546537144997E-3</v>
      </c>
      <c r="F58" s="8">
        <f>(MonthlyData!F58-MonthlyData!F57)/MonthlyData!F57</f>
        <v>-3.8945964485229925E-2</v>
      </c>
      <c r="G58" s="8">
        <f>(MonthlyData!G58-MonthlyData!G57)/MonthlyData!G57</f>
        <v>-1.0937999510516288E-2</v>
      </c>
      <c r="H58" s="8">
        <f>(MonthlyData!H58-MonthlyData!H57)/MonthlyData!H57</f>
        <v>2.1739632533806846E-3</v>
      </c>
      <c r="I58" s="8">
        <f>(MonthlyData!I58-MonthlyData!I57)/MonthlyData!I57</f>
        <v>7.8648241269681316E-3</v>
      </c>
      <c r="J58" s="8">
        <f>(MonthlyData!J58-MonthlyData!J57)/MonthlyData!J57</f>
        <v>1.8558377576888647E-3</v>
      </c>
      <c r="K58" s="8">
        <f>(MonthlyData!K58-MonthlyData!K57)/MonthlyData!K57</f>
        <v>-3.494277991130243E-2</v>
      </c>
    </row>
    <row r="59" spans="1:11" x14ac:dyDescent="0.2">
      <c r="A59" s="1">
        <v>41851</v>
      </c>
      <c r="B59" s="8">
        <f>(MonthlyData!B59-MonthlyData!B58)/MonthlyData!B58</f>
        <v>7.4633223910008928E-2</v>
      </c>
      <c r="C59" s="8">
        <f>(MonthlyData!C59-MonthlyData!C58)/MonthlyData!C58</f>
        <v>1.6576346828179902E-2</v>
      </c>
      <c r="D59" s="8">
        <f>(MonthlyData!D59-MonthlyData!D58)/MonthlyData!D58</f>
        <v>9.5999875667960852E-2</v>
      </c>
      <c r="E59" s="8">
        <f>(MonthlyData!E59-MonthlyData!E58)/MonthlyData!E58</f>
        <v>1.4936933775193111E-2</v>
      </c>
      <c r="F59" s="8">
        <f>(MonthlyData!F59-MonthlyData!F58)/MonthlyData!F58</f>
        <v>-5.9598042621675359E-3</v>
      </c>
      <c r="G59" s="8">
        <f>(MonthlyData!G59-MonthlyData!G58)/MonthlyData!G58</f>
        <v>4.1074222250439954E-2</v>
      </c>
      <c r="H59" s="8">
        <f>(MonthlyData!H59-MonthlyData!H58)/MonthlyData!H58</f>
        <v>9.0408354339214958E-2</v>
      </c>
      <c r="I59" s="8">
        <f>(MonthlyData!I59-MonthlyData!I58)/MonthlyData!I58</f>
        <v>0</v>
      </c>
      <c r="J59" s="8">
        <f>(MonthlyData!J59-MonthlyData!J58)/MonthlyData!J58</f>
        <v>0</v>
      </c>
      <c r="K59" s="8">
        <f>(MonthlyData!K59-MonthlyData!K58)/MonthlyData!K58</f>
        <v>6.6706245573943265E-2</v>
      </c>
    </row>
    <row r="60" spans="1:11" x14ac:dyDescent="0.2">
      <c r="A60" s="1">
        <v>41880</v>
      </c>
      <c r="B60" s="8">
        <f>(MonthlyData!B60-MonthlyData!B59)/MonthlyData!B59</f>
        <v>1.8671555292965616E-3</v>
      </c>
      <c r="C60" s="8">
        <f>(MonthlyData!C60-MonthlyData!C59)/MonthlyData!C59</f>
        <v>-2.1741402738580624E-2</v>
      </c>
      <c r="D60" s="8">
        <f>(MonthlyData!D60-MonthlyData!D59)/MonthlyData!D59</f>
        <v>-6.2375578532742518E-2</v>
      </c>
      <c r="E60" s="8">
        <f>(MonthlyData!E60-MonthlyData!E59)/MonthlyData!E59</f>
        <v>1.626644253262945E-2</v>
      </c>
      <c r="F60" s="8">
        <f>(MonthlyData!F60-MonthlyData!F59)/MonthlyData!F59</f>
        <v>3.8369267844067516E-2</v>
      </c>
      <c r="G60" s="8">
        <f>(MonthlyData!G60-MonthlyData!G59)/MonthlyData!G59</f>
        <v>1.5885990475513541E-3</v>
      </c>
      <c r="H60" s="8">
        <f>(MonthlyData!H60-MonthlyData!H59)/MonthlyData!H59</f>
        <v>3.8423230156297873E-2</v>
      </c>
      <c r="I60" s="8">
        <f>(MonthlyData!I60-MonthlyData!I59)/MonthlyData!I59</f>
        <v>3.6556025191429094E-2</v>
      </c>
      <c r="J60" s="8">
        <f>(MonthlyData!J60-MonthlyData!J59)/MonthlyData!J59</f>
        <v>3.1481251611301574E-2</v>
      </c>
      <c r="K60" s="8">
        <f>(MonthlyData!K60-MonthlyData!K59)/MonthlyData!K59</f>
        <v>5.4341290151165098E-3</v>
      </c>
    </row>
    <row r="61" spans="1:11" x14ac:dyDescent="0.2">
      <c r="A61" s="1">
        <v>41912</v>
      </c>
      <c r="B61" s="8">
        <f>(MonthlyData!B61-MonthlyData!B60)/MonthlyData!B60</f>
        <v>-6.928228101515084E-2</v>
      </c>
      <c r="C61" s="8">
        <f>(MonthlyData!C61-MonthlyData!C60)/MonthlyData!C60</f>
        <v>0</v>
      </c>
      <c r="D61" s="8">
        <f>(MonthlyData!D61-MonthlyData!D60)/MonthlyData!D60</f>
        <v>-9.075556399486806E-2</v>
      </c>
      <c r="E61" s="8">
        <f>(MonthlyData!E61-MonthlyData!E60)/MonthlyData!E60</f>
        <v>-4.1795559027276601E-2</v>
      </c>
      <c r="F61" s="8">
        <f>(MonthlyData!F61-MonthlyData!F60)/MonthlyData!F60</f>
        <v>-0.10818334089678293</v>
      </c>
      <c r="G61" s="8">
        <f>(MonthlyData!G61-MonthlyData!G60)/MonthlyData!G60</f>
        <v>-4.7365085673125744E-2</v>
      </c>
      <c r="H61" s="8">
        <f>(MonthlyData!H61-MonthlyData!H60)/MonthlyData!H60</f>
        <v>-1.4415413756212572E-2</v>
      </c>
      <c r="I61" s="8">
        <f>(MonthlyData!I61-MonthlyData!I60)/MonthlyData!I60</f>
        <v>-3.5531606470908604E-2</v>
      </c>
      <c r="J61" s="8">
        <f>(MonthlyData!J61-MonthlyData!J60)/MonthlyData!J60</f>
        <v>-2.3336974432081201E-2</v>
      </c>
      <c r="K61" s="8">
        <f>(MonthlyData!K61-MonthlyData!K60)/MonthlyData!K60</f>
        <v>-4.5383771258810879E-2</v>
      </c>
    </row>
    <row r="62" spans="1:11" x14ac:dyDescent="0.2">
      <c r="A62" s="1">
        <v>41943</v>
      </c>
      <c r="B62" s="8">
        <f>(MonthlyData!B62-MonthlyData!B61)/MonthlyData!B61</f>
        <v>4.8164550661949052E-2</v>
      </c>
      <c r="C62" s="8">
        <f>(MonthlyData!C62-MonthlyData!C61)/MonthlyData!C61</f>
        <v>1.6775296506036985E-2</v>
      </c>
      <c r="D62" s="8">
        <f>(MonthlyData!D62-MonthlyData!D61)/MonthlyData!D61</f>
        <v>7.5840433199652585E-2</v>
      </c>
      <c r="E62" s="8">
        <f>(MonthlyData!E62-MonthlyData!E61)/MonthlyData!E61</f>
        <v>7.0569432274283139E-2</v>
      </c>
      <c r="F62" s="8">
        <f>(MonthlyData!F62-MonthlyData!F61)/MonthlyData!F61</f>
        <v>1.4304440723221748E-2</v>
      </c>
      <c r="G62" s="8">
        <f>(MonthlyData!G62-MonthlyData!G61)/MonthlyData!G61</f>
        <v>6.278452957677326E-2</v>
      </c>
      <c r="H62" s="8">
        <f>(MonthlyData!H62-MonthlyData!H61)/MonthlyData!H61</f>
        <v>4.0756559034863263E-2</v>
      </c>
      <c r="I62" s="8">
        <f>(MonthlyData!I62-MonthlyData!I61)/MonthlyData!I61</f>
        <v>7.482116475972761E-2</v>
      </c>
      <c r="J62" s="8">
        <f>(MonthlyData!J62-MonthlyData!J61)/MonthlyData!J61</f>
        <v>4.0092886593052636E-2</v>
      </c>
      <c r="K62" s="8">
        <f>(MonthlyData!K62-MonthlyData!K61)/MonthlyData!K61</f>
        <v>-4.6374725410413663E-3</v>
      </c>
    </row>
    <row r="63" spans="1:11" x14ac:dyDescent="0.2">
      <c r="A63" s="1">
        <v>41971</v>
      </c>
      <c r="B63" s="8">
        <f>(MonthlyData!B63-MonthlyData!B62)/MonthlyData!B62</f>
        <v>4.88131177613389E-4</v>
      </c>
      <c r="C63" s="8">
        <f>(MonthlyData!C63-MonthlyData!C62)/MonthlyData!C62</f>
        <v>0.17469825256710503</v>
      </c>
      <c r="D63" s="8">
        <f>(MonthlyData!D63-MonthlyData!D62)/MonthlyData!D62</f>
        <v>3.4157524180740806E-2</v>
      </c>
      <c r="E63" s="8">
        <f>(MonthlyData!E63-MonthlyData!E62)/MonthlyData!E62</f>
        <v>1.0486802979675785E-2</v>
      </c>
      <c r="F63" s="8">
        <f>(MonthlyData!F63-MonthlyData!F62)/MonthlyData!F62</f>
        <v>-4.2307730531554809E-2</v>
      </c>
      <c r="G63" s="8">
        <f>(MonthlyData!G63-MonthlyData!G62)/MonthlyData!G62</f>
        <v>-1.6742734107320866E-2</v>
      </c>
      <c r="H63" s="8">
        <f>(MonthlyData!H63-MonthlyData!H62)/MonthlyData!H62</f>
        <v>-6.6856989786047531E-3</v>
      </c>
      <c r="I63" s="8">
        <f>(MonthlyData!I63-MonthlyData!I62)/MonthlyData!I62</f>
        <v>1.5470884430823235E-2</v>
      </c>
      <c r="J63" s="8">
        <f>(MonthlyData!J63-MonthlyData!J62)/MonthlyData!J62</f>
        <v>3.0910830637444608E-2</v>
      </c>
      <c r="K63" s="8">
        <f>(MonthlyData!K63-MonthlyData!K62)/MonthlyData!K62</f>
        <v>-1.9218883394584708E-2</v>
      </c>
    </row>
    <row r="65" spans="1:11" ht="28.5" x14ac:dyDescent="0.2">
      <c r="A65" s="14" t="s">
        <v>25</v>
      </c>
      <c r="B65" s="13">
        <f>AVERAGE(B4:B63)</f>
        <v>5.7970489882842773E-3</v>
      </c>
      <c r="C65" s="13">
        <f>AVERAGE(C4:C63)</f>
        <v>9.202365177589716E-3</v>
      </c>
      <c r="D65" s="13">
        <f>AVERAGE(D4:D63)</f>
        <v>1.2326413674803529E-2</v>
      </c>
      <c r="E65" s="13">
        <f>AVERAGE(E4:E63)</f>
        <v>7.9744754702683641E-3</v>
      </c>
      <c r="F65" s="13">
        <f>AVERAGE(F4:F63)</f>
        <v>3.4793771223500694E-3</v>
      </c>
      <c r="G65" s="13">
        <f>AVERAGE(G4:G63)</f>
        <v>7.2415917786523426E-3</v>
      </c>
      <c r="H65" s="13">
        <f>AVERAGE(H4:H63)</f>
        <v>7.1827806479290712E-3</v>
      </c>
      <c r="I65" s="13">
        <f>AVERAGE(I4:I63)</f>
        <v>1.0922902764380869E-2</v>
      </c>
      <c r="J65" s="13">
        <f>AVERAGE(J4:J63)</f>
        <v>7.7619668834678071E-3</v>
      </c>
      <c r="K65" s="13">
        <f>AVERAGE(K4:K63)</f>
        <v>2.7032334624970144E-3</v>
      </c>
    </row>
    <row r="66" spans="1:11" ht="28.5" x14ac:dyDescent="0.2">
      <c r="A66" s="14" t="s">
        <v>26</v>
      </c>
      <c r="B66" s="13">
        <f>STDEV(B4:B63)</f>
        <v>5.1175252302183991E-2</v>
      </c>
      <c r="C66" s="13">
        <f>STDEV(C4:C63)</f>
        <v>7.6041317860019636E-2</v>
      </c>
      <c r="D66" s="13">
        <f>STDEV(D4:D63)</f>
        <v>7.3261602891493874E-2</v>
      </c>
      <c r="E66" s="13">
        <f>STDEV(E4:E63)</f>
        <v>2.9935896172795885E-2</v>
      </c>
      <c r="F66" s="13">
        <f>STDEV(F4:F63)</f>
        <v>7.0378941715755206E-2</v>
      </c>
      <c r="G66" s="13">
        <f>STDEV(G4:G63)</f>
        <v>5.0520577706783837E-2</v>
      </c>
      <c r="H66" s="13">
        <f>STDEV(H4:H63)</f>
        <v>7.9661282253359042E-2</v>
      </c>
      <c r="I66" s="13">
        <f>STDEV(I4:I63)</f>
        <v>5.0477375586454036E-2</v>
      </c>
      <c r="J66" s="13">
        <f>STDEV(J4:J63)</f>
        <v>5.1160017021483907E-2</v>
      </c>
      <c r="K66" s="12">
        <f>STDEV(K4:K63)</f>
        <v>6.4747125572067965E-2</v>
      </c>
    </row>
    <row r="68" spans="1:11" x14ac:dyDescent="0.2">
      <c r="A68" s="12" t="s">
        <v>27</v>
      </c>
      <c r="B68" s="12"/>
      <c r="C68" s="15" t="s">
        <v>10</v>
      </c>
      <c r="D68" s="15" t="s">
        <v>11</v>
      </c>
      <c r="E68" s="15" t="s">
        <v>12</v>
      </c>
      <c r="F68" s="15" t="s">
        <v>13</v>
      </c>
      <c r="G68" s="15" t="s">
        <v>14</v>
      </c>
      <c r="H68" s="15" t="s">
        <v>15</v>
      </c>
      <c r="I68" s="15" t="s">
        <v>16</v>
      </c>
      <c r="J68" s="15" t="s">
        <v>17</v>
      </c>
      <c r="K68" s="15" t="s">
        <v>18</v>
      </c>
    </row>
    <row r="69" spans="1:11" ht="15" x14ac:dyDescent="0.25">
      <c r="A69" s="7"/>
      <c r="B69" s="16" t="s">
        <v>28</v>
      </c>
      <c r="C69" s="13">
        <f>CORREL($C$4:$C$63,C4:C63)</f>
        <v>1</v>
      </c>
      <c r="D69" s="13">
        <f>CORREL($C$4:$C$63,D4:D63)</f>
        <v>0.55867865090279178</v>
      </c>
      <c r="E69" s="13">
        <f>CORREL($C$4:$C$63,E4:E63)</f>
        <v>0.22814232200943574</v>
      </c>
      <c r="F69" s="13">
        <f>CORREL($C$4:$C$63,F4:F63)</f>
        <v>0.52830134646288041</v>
      </c>
      <c r="G69" s="13">
        <f>CORREL($C$4:$C$63,G4:G63)</f>
        <v>0.54139372681037823</v>
      </c>
      <c r="H69" s="13">
        <f>CORREL($C$4:$C$63,H4:H63)</f>
        <v>0.55737265135440106</v>
      </c>
      <c r="I69" s="13">
        <f>CORREL($C$4:$C$63,I4:I63)</f>
        <v>0.42340151119190722</v>
      </c>
      <c r="J69" s="13">
        <f>CORREL($C$4:$C$63,J4:J63)</f>
        <v>0.30552489551202783</v>
      </c>
      <c r="K69" s="13">
        <f>CORREL($C$4:$C$63,K4:K63)</f>
        <v>0.44442694003152111</v>
      </c>
    </row>
    <row r="70" spans="1:11" ht="15" x14ac:dyDescent="0.25">
      <c r="A70" s="7"/>
      <c r="B70" s="16" t="s">
        <v>29</v>
      </c>
      <c r="C70" s="13">
        <f>CORREL($D$4:$D$63,C4:C63)</f>
        <v>0.55867865090279178</v>
      </c>
      <c r="D70" s="13">
        <f>CORREL($D$4:$D$63,D4:D63)</f>
        <v>1</v>
      </c>
      <c r="E70" s="13">
        <f>CORREL($D$4:$D$63,E4:E63)</f>
        <v>0.37322171074501559</v>
      </c>
      <c r="F70" s="13">
        <f>CORREL($D$4:$D$63,F4:F63)</f>
        <v>0.68061208324240297</v>
      </c>
      <c r="G70" s="13">
        <f>CORREL($D$4:$D$63,G4:G63)</f>
        <v>0.74366670060982021</v>
      </c>
      <c r="H70" s="13">
        <f>CORREL($D$4:$D$63,H4:H63)</f>
        <v>0.85744966246788024</v>
      </c>
      <c r="I70" s="13">
        <f>CORREL($D$4:$D$63,I4:I63)</f>
        <v>0.47410576290311535</v>
      </c>
      <c r="J70" s="13">
        <f>CORREL($D$4:$D$63,J4:J63)</f>
        <v>0.43030014943025297</v>
      </c>
      <c r="K70" s="13">
        <f>CORREL($D$4:$D$63,K4:K63)</f>
        <v>0.6391856574728294</v>
      </c>
    </row>
    <row r="71" spans="1:11" ht="15" x14ac:dyDescent="0.25">
      <c r="A71" s="7"/>
      <c r="B71" s="16" t="s">
        <v>30</v>
      </c>
      <c r="C71" s="13">
        <f>CORREL($E$4:$E$63,C4:C63)</f>
        <v>0.22814232200943574</v>
      </c>
      <c r="D71" s="13">
        <f>CORREL($E$4:$E$63,D4:D63)</f>
        <v>0.37322171074501559</v>
      </c>
      <c r="E71" s="13">
        <f>CORREL($E$4:$E$63,E4:E63)</f>
        <v>1</v>
      </c>
      <c r="F71" s="13">
        <f>CORREL($E$4:$E$63,F4:F63)</f>
        <v>0.32783253536988333</v>
      </c>
      <c r="G71" s="13">
        <f>CORREL($E$4:$E$63,G4:G63)</f>
        <v>0.38086016961079733</v>
      </c>
      <c r="H71" s="13">
        <f>CORREL($E$4:$E$63,H4:H63)</f>
        <v>0.38643704760849362</v>
      </c>
      <c r="I71" s="13">
        <f>CORREL($E$4:$E$63,I4:I63)</f>
        <v>0.62187867131346186</v>
      </c>
      <c r="J71" s="13">
        <f>CORREL($E$4:$E$63,J4:J63)</f>
        <v>0.33371140679028921</v>
      </c>
      <c r="K71" s="13">
        <f>CORREL($E$4:$E$63,K4:K63)</f>
        <v>0.23260682110931721</v>
      </c>
    </row>
    <row r="72" spans="1:11" ht="15" x14ac:dyDescent="0.25">
      <c r="A72" s="7"/>
      <c r="B72" s="16" t="s">
        <v>31</v>
      </c>
      <c r="C72" s="13">
        <f>CORREL($F$4:$F$63,C4:C63)</f>
        <v>0.52830134646288041</v>
      </c>
      <c r="D72" s="13">
        <f>CORREL($F$4:$F$63,D4:D63)</f>
        <v>0.68061208324240297</v>
      </c>
      <c r="E72" s="13">
        <f>CORREL($F$4:$F$63,E4:E63)</f>
        <v>0.32783253536988333</v>
      </c>
      <c r="F72" s="13">
        <f>CORREL($F$4:$F$63,F4:F63)</f>
        <v>0.99999999999999978</v>
      </c>
      <c r="G72" s="13">
        <f>CORREL($F$4:$F$63,G4:G63)</f>
        <v>0.58212703244029951</v>
      </c>
      <c r="H72" s="13">
        <f>CORREL($F$4:$F$63,H4:H63)</f>
        <v>0.71266013899511726</v>
      </c>
      <c r="I72" s="13">
        <f>CORREL($F$4:$F$63,I4:I63)</f>
        <v>0.47725903780864354</v>
      </c>
      <c r="J72" s="13">
        <f>CORREL($F$4:$F$63,J4:J63)</f>
        <v>0.24457598616119966</v>
      </c>
      <c r="K72" s="13">
        <f>CORREL($F$4:$F$63,K4:K63)</f>
        <v>0.56106111935692049</v>
      </c>
    </row>
    <row r="73" spans="1:11" ht="15" x14ac:dyDescent="0.25">
      <c r="A73" s="7"/>
      <c r="B73" s="16" t="s">
        <v>32</v>
      </c>
      <c r="C73" s="13">
        <f>CORREL($G$4:$G$63,C4:C63)</f>
        <v>0.54139372681037823</v>
      </c>
      <c r="D73" s="13">
        <f>CORREL($G$4:$G$63,D4:D63)</f>
        <v>0.74366670060982021</v>
      </c>
      <c r="E73" s="13">
        <f>CORREL($G$4:$G$63,E4:E63)</f>
        <v>0.38086016961079733</v>
      </c>
      <c r="F73" s="13">
        <f>CORREL($G$4:$G$63,F4:F63)</f>
        <v>0.58212703244029951</v>
      </c>
      <c r="G73" s="13">
        <f>CORREL($G$4:$G$63,G4:G63)</f>
        <v>1</v>
      </c>
      <c r="H73" s="13">
        <f>CORREL($G$4:$G$63,H4:H63)</f>
        <v>0.77181487663013537</v>
      </c>
      <c r="I73" s="13">
        <f>CORREL($G$4:$G$63,I4:I63)</f>
        <v>0.41352807676625403</v>
      </c>
      <c r="J73" s="13">
        <f>CORREL($G$4:$G$63,J4:J63)</f>
        <v>0.41407403213989913</v>
      </c>
      <c r="K73" s="13">
        <f>CORREL($G$4:$G$63,K4:K63)</f>
        <v>0.61274936616668529</v>
      </c>
    </row>
    <row r="74" spans="1:11" ht="15" x14ac:dyDescent="0.25">
      <c r="A74" s="7"/>
      <c r="B74" s="16" t="s">
        <v>33</v>
      </c>
      <c r="C74" s="13">
        <f>CORREL($H$4:$H$63,C4:C63)</f>
        <v>0.55737265135440106</v>
      </c>
      <c r="D74" s="13">
        <f>CORREL($H$4:$H$63,D4:D63)</f>
        <v>0.85744966246788024</v>
      </c>
      <c r="E74" s="13">
        <f>CORREL($H$4:$H$63,E4:E63)</f>
        <v>0.38643704760849362</v>
      </c>
      <c r="F74" s="13">
        <f>CORREL($H$4:$H$63,F4:F63)</f>
        <v>0.71266013899511726</v>
      </c>
      <c r="G74" s="13">
        <f>CORREL($H$4:$H$63,G4:G63)</f>
        <v>0.77181487663013537</v>
      </c>
      <c r="H74" s="13">
        <f>CORREL($H$4:$H$63,H4:H63)</f>
        <v>1</v>
      </c>
      <c r="I74" s="13">
        <f>CORREL($H$4:$H$63,I4:I63)</f>
        <v>0.56263842915364992</v>
      </c>
      <c r="J74" s="13">
        <f>CORREL($H$4:$H$63,J4:J63)</f>
        <v>0.45931220319604615</v>
      </c>
      <c r="K74" s="13">
        <f>CORREL($H$4:$H$63,K4:K63)</f>
        <v>0.65441336667351524</v>
      </c>
    </row>
    <row r="75" spans="1:11" ht="15" x14ac:dyDescent="0.25">
      <c r="A75" s="7"/>
      <c r="B75" s="16" t="s">
        <v>34</v>
      </c>
      <c r="C75" s="13">
        <f>CORREL($I$4:$I$63,C4:C63)</f>
        <v>0.42340151119190722</v>
      </c>
      <c r="D75" s="13">
        <f>CORREL($I$4:$I$63,D4:D63)</f>
        <v>0.47410576290311535</v>
      </c>
      <c r="E75" s="13">
        <f>CORREL($I$4:$I$63,E4:E63)</f>
        <v>0.62187867131346186</v>
      </c>
      <c r="F75" s="13">
        <f>CORREL($I$4:$I$63,F4:F63)</f>
        <v>0.47725903780864354</v>
      </c>
      <c r="G75" s="13">
        <f>CORREL($I$4:$I$63,G4:G63)</f>
        <v>0.41352807676625403</v>
      </c>
      <c r="H75" s="13">
        <f>CORREL($I$4:$I$63,H4:H63)</f>
        <v>0.56263842915364992</v>
      </c>
      <c r="I75" s="13">
        <f>CORREL($I$4:$I$63,I4:I63)</f>
        <v>1</v>
      </c>
      <c r="J75" s="13">
        <f>CORREL($I$4:$I$63,J4:J63)</f>
        <v>0.34107762361517097</v>
      </c>
      <c r="K75" s="13">
        <f>CORREL($I$4:$I$63,K4:K63)</f>
        <v>0.26740326433046141</v>
      </c>
    </row>
    <row r="76" spans="1:11" ht="15" x14ac:dyDescent="0.25">
      <c r="A76" s="7"/>
      <c r="B76" s="16" t="s">
        <v>35</v>
      </c>
      <c r="C76" s="13">
        <f>CORREL($J$4:$J$63,C4:C63)</f>
        <v>0.30552489551202783</v>
      </c>
      <c r="D76" s="13">
        <f>CORREL($J$4:$J$63,D4:D63)</f>
        <v>0.43030014943025297</v>
      </c>
      <c r="E76" s="13">
        <f>CORREL($J$4:$J$63,E4:E63)</f>
        <v>0.33371140679028921</v>
      </c>
      <c r="F76" s="13">
        <f>CORREL($J$4:$J$63,F4:F63)</f>
        <v>0.24457598616119966</v>
      </c>
      <c r="G76" s="13">
        <f>CORREL($J$4:$J$63,G4:G63)</f>
        <v>0.41407403213989913</v>
      </c>
      <c r="H76" s="13">
        <f>CORREL($J$4:$J$63,H4:H63)</f>
        <v>0.45931220319604615</v>
      </c>
      <c r="I76" s="13">
        <f>CORREL($J$4:$J$63,I4:I63)</f>
        <v>0.34107762361517097</v>
      </c>
      <c r="J76" s="13">
        <f>CORREL($J$4:$J$63,J4:J63)</f>
        <v>1</v>
      </c>
      <c r="K76" s="13">
        <f>CORREL($J$4:$J$63,K4:K63)</f>
        <v>0.38704270593433243</v>
      </c>
    </row>
    <row r="77" spans="1:11" ht="15" x14ac:dyDescent="0.25">
      <c r="A77" s="7"/>
      <c r="B77" s="16" t="s">
        <v>36</v>
      </c>
      <c r="C77" s="13">
        <f>CORREL($K$4:$K$63,C4:C63)</f>
        <v>0.44442694003152111</v>
      </c>
      <c r="D77" s="13">
        <f>CORREL($K$4:$K$63,D4:D63)</f>
        <v>0.6391856574728294</v>
      </c>
      <c r="E77" s="13">
        <f>CORREL($K$4:$K$63,E4:E63)</f>
        <v>0.23260682110931721</v>
      </c>
      <c r="F77" s="13">
        <f>CORREL($K$4:$K$63,F4:F63)</f>
        <v>0.56106111935692049</v>
      </c>
      <c r="G77" s="13">
        <f>CORREL($K$4:$K$63,G4:G63)</f>
        <v>0.61274936616668529</v>
      </c>
      <c r="H77" s="13">
        <f>CORREL($K$4:$K$63,H4:H63)</f>
        <v>0.65441336667351524</v>
      </c>
      <c r="I77" s="13">
        <f>CORREL($K$4:$K$63,I4:I63)</f>
        <v>0.26740326433046141</v>
      </c>
      <c r="J77" s="13">
        <f>CORREL($K$4:$K$63,J4:J63)</f>
        <v>0.38704270593433243</v>
      </c>
      <c r="K77" s="13">
        <f>CORREL($K$4:$K$63,K4:K63)</f>
        <v>1</v>
      </c>
    </row>
    <row r="78" spans="1:11" ht="15" x14ac:dyDescent="0.25">
      <c r="A78" s="9"/>
      <c r="B78" s="8"/>
      <c r="C78" s="8"/>
      <c r="D78" s="8"/>
      <c r="E78" s="8"/>
      <c r="F78" s="8"/>
      <c r="G78" s="8"/>
      <c r="H78" s="8"/>
      <c r="I78" s="8"/>
      <c r="J78" s="8"/>
    </row>
    <row r="79" spans="1:11" x14ac:dyDescent="0.2">
      <c r="A79" s="10">
        <f>60/59</f>
        <v>1.0169491525423728</v>
      </c>
      <c r="B79" s="10"/>
    </row>
    <row r="80" spans="1:11" x14ac:dyDescent="0.2">
      <c r="A80" s="12" t="s">
        <v>22</v>
      </c>
      <c r="B80" s="12"/>
      <c r="C80" s="15" t="s">
        <v>10</v>
      </c>
      <c r="D80" s="15" t="s">
        <v>11</v>
      </c>
      <c r="E80" s="15" t="s">
        <v>12</v>
      </c>
      <c r="F80" s="15" t="s">
        <v>13</v>
      </c>
      <c r="G80" s="15" t="s">
        <v>14</v>
      </c>
      <c r="H80" s="15" t="s">
        <v>15</v>
      </c>
      <c r="I80" s="15" t="s">
        <v>16</v>
      </c>
      <c r="J80" s="15" t="s">
        <v>17</v>
      </c>
      <c r="K80" s="15" t="s">
        <v>18</v>
      </c>
    </row>
    <row r="81" spans="1:11" ht="15" x14ac:dyDescent="0.25">
      <c r="A81" s="7"/>
      <c r="B81" s="16" t="s">
        <v>28</v>
      </c>
      <c r="C81" s="13">
        <f>COVAR($C$4:$C$63,C4:C63)*60/59</f>
        <v>5.7822820218885419E-3</v>
      </c>
      <c r="D81" s="13">
        <f>COVAR($C$4:$C$63,D4:D63)*60/59</f>
        <v>3.1123478307913768E-3</v>
      </c>
      <c r="E81" s="13">
        <f>COVAR($C$4:$C$63,E4:E63)*60/59</f>
        <v>5.1933519599690924E-4</v>
      </c>
      <c r="F81" s="13">
        <f>COVAR($C$4:$C$63,F4:F63)*60/59</f>
        <v>2.8273142663229997E-3</v>
      </c>
      <c r="G81" s="13">
        <f>COVAR($C$4:$C$63,G4:G63)*60/59</f>
        <v>2.0798459186755287E-3</v>
      </c>
      <c r="H81" s="13">
        <f>COVAR($C$4:$C$63,H4:H63)*60/59</f>
        <v>3.3763120827215122E-3</v>
      </c>
      <c r="I81" s="13">
        <f>COVAR($C$4:$C$63,I4:I63)*60/59</f>
        <v>1.6251700333755332E-3</v>
      </c>
      <c r="J81" s="13">
        <f>COVAR($C$4:$C$63,J4:J63)*60/59</f>
        <v>1.1885758983456458E-3</v>
      </c>
      <c r="K81" s="13">
        <f>COVAR($C$4:$C$63,K4:K63)*60/59</f>
        <v>2.1881168205124747E-3</v>
      </c>
    </row>
    <row r="82" spans="1:11" ht="15" x14ac:dyDescent="0.25">
      <c r="A82" s="7"/>
      <c r="B82" s="16" t="s">
        <v>29</v>
      </c>
      <c r="C82" s="13">
        <f>COVAR($D$4:$D$63,C4:C63)*60/59</f>
        <v>3.1123478307913768E-3</v>
      </c>
      <c r="D82" s="13">
        <f>COVAR($D$4:$D$63,D4:D63)*60/59</f>
        <v>5.3672624582309413E-3</v>
      </c>
      <c r="E82" s="13">
        <f>COVAR($D$4:$D$63,E4:E63)*60/59</f>
        <v>8.1853184343508962E-4</v>
      </c>
      <c r="F82" s="13">
        <f>COVAR($D$4:$D$63,F4:F63)*60/59</f>
        <v>3.5092863208751068E-3</v>
      </c>
      <c r="G82" s="13">
        <f>COVAR($D$4:$D$63,G4:G63)*60/59</f>
        <v>2.7524729514720489E-3</v>
      </c>
      <c r="H82" s="13">
        <f>COVAR($D$4:$D$63,H4:H63)*60/59</f>
        <v>5.0041733159919425E-3</v>
      </c>
      <c r="I82" s="13">
        <f>COVAR($D$4:$D$63,I4:I63)*60/59</f>
        <v>1.7532684499023243E-3</v>
      </c>
      <c r="J82" s="13">
        <f>COVAR($D$4:$D$63,J4:J63)*60/59</f>
        <v>1.6127928654380724E-3</v>
      </c>
      <c r="K82" s="13">
        <f>COVAR($D$4:$D$63,K4:K63)*60/59</f>
        <v>3.0319632332703626E-3</v>
      </c>
    </row>
    <row r="83" spans="1:11" ht="15" x14ac:dyDescent="0.25">
      <c r="A83" s="7"/>
      <c r="B83" s="16" t="s">
        <v>30</v>
      </c>
      <c r="C83" s="13">
        <f>COVAR($E$4:$E$63,C4:C63)*60/59</f>
        <v>5.1933519599690924E-4</v>
      </c>
      <c r="D83" s="13">
        <f>COVAR($E$4:$E$63,D4:D63)*60/59</f>
        <v>8.1853184343508962E-4</v>
      </c>
      <c r="E83" s="13">
        <f>COVAR($E$4:$E$63,E4:E63)*60/59</f>
        <v>8.9615787966841501E-4</v>
      </c>
      <c r="F83" s="13">
        <f>COVAR($E$4:$E$63,F4:F63)*60/59</f>
        <v>6.9069617098431815E-4</v>
      </c>
      <c r="G83" s="13">
        <f>COVAR($E$4:$E$63,G4:G63)*60/59</f>
        <v>5.7600483440853388E-4</v>
      </c>
      <c r="H83" s="13">
        <f>COVAR($E$4:$E$63,H4:H63)*60/59</f>
        <v>9.2154874493060169E-4</v>
      </c>
      <c r="I83" s="13">
        <f>COVAR($E$4:$E$63,I4:I63)*60/59</f>
        <v>9.3971182720479075E-4</v>
      </c>
      <c r="J83" s="13">
        <f>COVAR($E$4:$E$63,J4:J63)*60/59</f>
        <v>5.1108601334076892E-4</v>
      </c>
      <c r="K83" s="13">
        <f>COVAR($E$4:$E$63,K4:K63)*60/59</f>
        <v>4.5085324808061294E-4</v>
      </c>
    </row>
    <row r="84" spans="1:11" ht="15" x14ac:dyDescent="0.25">
      <c r="A84" s="7"/>
      <c r="B84" s="16" t="s">
        <v>31</v>
      </c>
      <c r="C84" s="13">
        <f>COVAR($F$4:$F$63,C4:C63)*60/59</f>
        <v>2.8273142663229997E-3</v>
      </c>
      <c r="D84" s="13">
        <f>COVAR($F$4:$F$63,D4:D63)*60/59</f>
        <v>3.5092863208751068E-3</v>
      </c>
      <c r="E84" s="13">
        <f>COVAR($F$4:$F$63,E4:E63)*60/59</f>
        <v>6.9069617098431815E-4</v>
      </c>
      <c r="F84" s="13">
        <f>COVAR($F$4:$F$63,F4:F63)*60/59</f>
        <v>4.9531954370296682E-3</v>
      </c>
      <c r="G84" s="13">
        <f>COVAR($F$4:$F$63,G4:G63)*60/59</f>
        <v>2.0698020246465738E-3</v>
      </c>
      <c r="H84" s="13">
        <f>COVAR($F$4:$F$63,H4:H63)*60/59</f>
        <v>3.9955124933083357E-3</v>
      </c>
      <c r="I84" s="13">
        <f>COVAR($F$4:$F$63,I4:I63)*60/59</f>
        <v>1.6954838621552506E-3</v>
      </c>
      <c r="J84" s="13">
        <f>COVAR($F$4:$F$63,J4:J63)*60/59</f>
        <v>8.8061732567353826E-4</v>
      </c>
      <c r="K84" s="13">
        <f>COVAR($F$4:$F$63,K4:K63)*60/59</f>
        <v>2.5566624840149669E-3</v>
      </c>
    </row>
    <row r="85" spans="1:11" ht="15" x14ac:dyDescent="0.25">
      <c r="A85" s="7"/>
      <c r="B85" s="16" t="s">
        <v>32</v>
      </c>
      <c r="C85" s="13">
        <f>COVAR($G$4:$G$63,C4:C63)*60/59</f>
        <v>2.0798459186755287E-3</v>
      </c>
      <c r="D85" s="13">
        <f>COVAR($G$4:$G$63,D4:D63)*60/59</f>
        <v>2.7524729514720489E-3</v>
      </c>
      <c r="E85" s="13">
        <f>COVAR($G$4:$G$63,E4:E63)*60/59</f>
        <v>5.7600483440853388E-4</v>
      </c>
      <c r="F85" s="13">
        <f>COVAR($G$4:$G$63,F4:F63)*60/59</f>
        <v>2.0698020246465738E-3</v>
      </c>
      <c r="G85" s="13">
        <f>COVAR($G$4:$G$63,G4:G63)*60/59</f>
        <v>2.5523287718271837E-3</v>
      </c>
      <c r="H85" s="13">
        <f>COVAR($G$4:$G$63,H4:H63)*60/59</f>
        <v>3.1061952129375417E-3</v>
      </c>
      <c r="I85" s="13">
        <f>COVAR($G$4:$G$63,I4:I63)*60/59</f>
        <v>1.0545570435307005E-3</v>
      </c>
      <c r="J85" s="13">
        <f>COVAR($G$4:$G$63,J4:J63)*60/59</f>
        <v>1.0702296627389085E-3</v>
      </c>
      <c r="K85" s="13">
        <f>COVAR($G$4:$G$63,K4:K63)*60/59</f>
        <v>2.0043412828511611E-3</v>
      </c>
    </row>
    <row r="86" spans="1:11" ht="15" x14ac:dyDescent="0.25">
      <c r="A86" s="7"/>
      <c r="B86" s="16" t="s">
        <v>33</v>
      </c>
      <c r="C86" s="13">
        <f>COVAR($H$4:$H$63,C4:C63)*60/59</f>
        <v>3.3763120827215122E-3</v>
      </c>
      <c r="D86" s="13">
        <f>COVAR($H$4:$H$63,D4:D63)*60/59</f>
        <v>5.0041733159919425E-3</v>
      </c>
      <c r="E86" s="13">
        <f>COVAR($H$4:$H$63,E4:E63)*60/59</f>
        <v>9.2154874493060169E-4</v>
      </c>
      <c r="F86" s="13">
        <f>COVAR($H$4:$H$63,F4:F63)*60/59</f>
        <v>3.9955124933083357E-3</v>
      </c>
      <c r="G86" s="13">
        <f>COVAR($H$4:$H$63,G4:G63)*60/59</f>
        <v>3.1061952129375417E-3</v>
      </c>
      <c r="H86" s="13">
        <f>COVAR($H$4:$H$63,H4:H63)*60/59</f>
        <v>6.3459198902493371E-3</v>
      </c>
      <c r="I86" s="13">
        <f>COVAR($H$4:$H$63,I4:I63)*60/59</f>
        <v>2.262421147427288E-3</v>
      </c>
      <c r="J86" s="13">
        <f>COVAR($H$4:$H$63,J4:J63)*60/59</f>
        <v>1.8719142787774949E-3</v>
      </c>
      <c r="K86" s="13">
        <f>COVAR($H$4:$H$63,K4:K63)*60/59</f>
        <v>3.3753588143884614E-3</v>
      </c>
    </row>
    <row r="87" spans="1:11" ht="15" x14ac:dyDescent="0.25">
      <c r="A87" s="7"/>
      <c r="B87" s="16" t="s">
        <v>34</v>
      </c>
      <c r="C87" s="13">
        <f>COVAR($I$4:$I$63,C4:C63)*60/59</f>
        <v>1.6251700333755332E-3</v>
      </c>
      <c r="D87" s="13">
        <f>COVAR($I$4:$I$63,D4:D63)*60/59</f>
        <v>1.7532684499023243E-3</v>
      </c>
      <c r="E87" s="13">
        <f>COVAR($I$4:$I$63,E4:E63)*60/59</f>
        <v>9.3971182720479075E-4</v>
      </c>
      <c r="F87" s="13">
        <f>COVAR($I$4:$I$63,F4:F63)*60/59</f>
        <v>1.6954838621552506E-3</v>
      </c>
      <c r="G87" s="13">
        <f>COVAR($I$4:$I$63,G4:G63)*60/59</f>
        <v>1.0545570435307005E-3</v>
      </c>
      <c r="H87" s="13">
        <f>COVAR($I$4:$I$63,H4:H63)*60/59</f>
        <v>2.262421147427288E-3</v>
      </c>
      <c r="I87" s="13">
        <f>COVAR($I$4:$I$63,I4:I63)*60/59</f>
        <v>2.5479654460959463E-3</v>
      </c>
      <c r="J87" s="13">
        <f>COVAR($I$4:$I$63,J4:J63)*60/59</f>
        <v>8.8080683446292328E-4</v>
      </c>
      <c r="K87" s="13">
        <f>COVAR($I$4:$I$63,K4:K63)*60/59</f>
        <v>8.739447231842759E-4</v>
      </c>
    </row>
    <row r="88" spans="1:11" ht="15" x14ac:dyDescent="0.25">
      <c r="A88" s="7"/>
      <c r="B88" s="16" t="s">
        <v>35</v>
      </c>
      <c r="C88" s="13">
        <f>COVAR($J$4:$J$63,C4:C63)*60/59</f>
        <v>1.1885758983456458E-3</v>
      </c>
      <c r="D88" s="13">
        <f>COVAR($J$4:$J$63,D4:D63)*60/59</f>
        <v>1.6127928654380724E-3</v>
      </c>
      <c r="E88" s="13">
        <f>COVAR($J$4:$J$63,E4:E63)*60/59</f>
        <v>5.1108601334076892E-4</v>
      </c>
      <c r="F88" s="13">
        <f>COVAR($J$4:$J$63,F4:F63)*60/59</f>
        <v>8.8061732567353826E-4</v>
      </c>
      <c r="G88" s="13">
        <f>COVAR($J$4:$J$63,G4:G63)*60/59</f>
        <v>1.0702296627389085E-3</v>
      </c>
      <c r="H88" s="13">
        <f>COVAR($J$4:$J$63,H4:H63)*60/59</f>
        <v>1.8719142787774949E-3</v>
      </c>
      <c r="I88" s="13">
        <f>COVAR($J$4:$J$63,I4:I63)*60/59</f>
        <v>8.8080683446292328E-4</v>
      </c>
      <c r="J88" s="13">
        <f>COVAR($J$4:$J$63,J4:J63)*60/59</f>
        <v>2.6173473416385221E-3</v>
      </c>
      <c r="K88" s="13">
        <f>COVAR($J$4:$J$63,K4:K63)*60/59</f>
        <v>1.2820650478130341E-3</v>
      </c>
    </row>
    <row r="89" spans="1:11" ht="15" x14ac:dyDescent="0.25">
      <c r="A89" s="7"/>
      <c r="B89" s="16" t="s">
        <v>36</v>
      </c>
      <c r="C89" s="13">
        <f>COVAR($K$4:$K$63,C4:C63)*60/59</f>
        <v>2.1881168205124747E-3</v>
      </c>
      <c r="D89" s="13">
        <f>COVAR($K$4:$K$63,D4:D63)*60/59</f>
        <v>3.0319632332703626E-3</v>
      </c>
      <c r="E89" s="13">
        <f>COVAR($K$4:$K$63,E4:E63)*60/59</f>
        <v>4.5085324808061294E-4</v>
      </c>
      <c r="F89" s="13">
        <f>COVAR($K$4:$K$63,F4:F63)*60/59</f>
        <v>2.5566624840149669E-3</v>
      </c>
      <c r="G89" s="13">
        <f>COVAR($K$4:$K$63,G4:G63)*60/59</f>
        <v>2.0043412828511611E-3</v>
      </c>
      <c r="H89" s="13">
        <f>COVAR($K$4:$K$63,H4:H63)*60/59</f>
        <v>3.3753588143884614E-3</v>
      </c>
      <c r="I89" s="13">
        <f>COVAR($K$4:$K$63,I4:I63)*60/59</f>
        <v>8.739447231842759E-4</v>
      </c>
      <c r="J89" s="13">
        <f>COVAR($K$4:$K$63,J4:J63)*60/59</f>
        <v>1.2820650478130341E-3</v>
      </c>
      <c r="K89" s="13">
        <f>COVAR($K$4:$K$63,K4:K63)*60/59</f>
        <v>4.1921902698451368E-3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trun_Button1_Click">
                <anchor mov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1428750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4"/>
  <sheetViews>
    <sheetView topLeftCell="C1" workbookViewId="0">
      <selection activeCell="B66" sqref="B66"/>
    </sheetView>
  </sheetViews>
  <sheetFormatPr defaultColWidth="18.125" defaultRowHeight="12.75" x14ac:dyDescent="0.2"/>
  <cols>
    <col min="1" max="1" width="18.125" style="1" customWidth="1"/>
    <col min="2" max="256" width="18.125" style="2"/>
    <col min="257" max="257" width="18.125" style="2" customWidth="1"/>
    <col min="258" max="512" width="18.125" style="2"/>
    <col min="513" max="513" width="18.125" style="2" customWidth="1"/>
    <col min="514" max="768" width="18.125" style="2"/>
    <col min="769" max="769" width="18.125" style="2" customWidth="1"/>
    <col min="770" max="1024" width="18.125" style="2"/>
    <col min="1025" max="1025" width="18.125" style="2" customWidth="1"/>
    <col min="1026" max="1280" width="18.125" style="2"/>
    <col min="1281" max="1281" width="18.125" style="2" customWidth="1"/>
    <col min="1282" max="1536" width="18.125" style="2"/>
    <col min="1537" max="1537" width="18.125" style="2" customWidth="1"/>
    <col min="1538" max="1792" width="18.125" style="2"/>
    <col min="1793" max="1793" width="18.125" style="2" customWidth="1"/>
    <col min="1794" max="2048" width="18.125" style="2"/>
    <col min="2049" max="2049" width="18.125" style="2" customWidth="1"/>
    <col min="2050" max="2304" width="18.125" style="2"/>
    <col min="2305" max="2305" width="18.125" style="2" customWidth="1"/>
    <col min="2306" max="2560" width="18.125" style="2"/>
    <col min="2561" max="2561" width="18.125" style="2" customWidth="1"/>
    <col min="2562" max="2816" width="18.125" style="2"/>
    <col min="2817" max="2817" width="18.125" style="2" customWidth="1"/>
    <col min="2818" max="3072" width="18.125" style="2"/>
    <col min="3073" max="3073" width="18.125" style="2" customWidth="1"/>
    <col min="3074" max="3328" width="18.125" style="2"/>
    <col min="3329" max="3329" width="18.125" style="2" customWidth="1"/>
    <col min="3330" max="3584" width="18.125" style="2"/>
    <col min="3585" max="3585" width="18.125" style="2" customWidth="1"/>
    <col min="3586" max="3840" width="18.125" style="2"/>
    <col min="3841" max="3841" width="18.125" style="2" customWidth="1"/>
    <col min="3842" max="4096" width="18.125" style="2"/>
    <col min="4097" max="4097" width="18.125" style="2" customWidth="1"/>
    <col min="4098" max="4352" width="18.125" style="2"/>
    <col min="4353" max="4353" width="18.125" style="2" customWidth="1"/>
    <col min="4354" max="4608" width="18.125" style="2"/>
    <col min="4609" max="4609" width="18.125" style="2" customWidth="1"/>
    <col min="4610" max="4864" width="18.125" style="2"/>
    <col min="4865" max="4865" width="18.125" style="2" customWidth="1"/>
    <col min="4866" max="5120" width="18.125" style="2"/>
    <col min="5121" max="5121" width="18.125" style="2" customWidth="1"/>
    <col min="5122" max="5376" width="18.125" style="2"/>
    <col min="5377" max="5377" width="18.125" style="2" customWidth="1"/>
    <col min="5378" max="5632" width="18.125" style="2"/>
    <col min="5633" max="5633" width="18.125" style="2" customWidth="1"/>
    <col min="5634" max="5888" width="18.125" style="2"/>
    <col min="5889" max="5889" width="18.125" style="2" customWidth="1"/>
    <col min="5890" max="6144" width="18.125" style="2"/>
    <col min="6145" max="6145" width="18.125" style="2" customWidth="1"/>
    <col min="6146" max="6400" width="18.125" style="2"/>
    <col min="6401" max="6401" width="18.125" style="2" customWidth="1"/>
    <col min="6402" max="6656" width="18.125" style="2"/>
    <col min="6657" max="6657" width="18.125" style="2" customWidth="1"/>
    <col min="6658" max="6912" width="18.125" style="2"/>
    <col min="6913" max="6913" width="18.125" style="2" customWidth="1"/>
    <col min="6914" max="7168" width="18.125" style="2"/>
    <col min="7169" max="7169" width="18.125" style="2" customWidth="1"/>
    <col min="7170" max="7424" width="18.125" style="2"/>
    <col min="7425" max="7425" width="18.125" style="2" customWidth="1"/>
    <col min="7426" max="7680" width="18.125" style="2"/>
    <col min="7681" max="7681" width="18.125" style="2" customWidth="1"/>
    <col min="7682" max="7936" width="18.125" style="2"/>
    <col min="7937" max="7937" width="18.125" style="2" customWidth="1"/>
    <col min="7938" max="8192" width="18.125" style="2"/>
    <col min="8193" max="8193" width="18.125" style="2" customWidth="1"/>
    <col min="8194" max="8448" width="18.125" style="2"/>
    <col min="8449" max="8449" width="18.125" style="2" customWidth="1"/>
    <col min="8450" max="8704" width="18.125" style="2"/>
    <col min="8705" max="8705" width="18.125" style="2" customWidth="1"/>
    <col min="8706" max="8960" width="18.125" style="2"/>
    <col min="8961" max="8961" width="18.125" style="2" customWidth="1"/>
    <col min="8962" max="9216" width="18.125" style="2"/>
    <col min="9217" max="9217" width="18.125" style="2" customWidth="1"/>
    <col min="9218" max="9472" width="18.125" style="2"/>
    <col min="9473" max="9473" width="18.125" style="2" customWidth="1"/>
    <col min="9474" max="9728" width="18.125" style="2"/>
    <col min="9729" max="9729" width="18.125" style="2" customWidth="1"/>
    <col min="9730" max="9984" width="18.125" style="2"/>
    <col min="9985" max="9985" width="18.125" style="2" customWidth="1"/>
    <col min="9986" max="10240" width="18.125" style="2"/>
    <col min="10241" max="10241" width="18.125" style="2" customWidth="1"/>
    <col min="10242" max="10496" width="18.125" style="2"/>
    <col min="10497" max="10497" width="18.125" style="2" customWidth="1"/>
    <col min="10498" max="10752" width="18.125" style="2"/>
    <col min="10753" max="10753" width="18.125" style="2" customWidth="1"/>
    <col min="10754" max="11008" width="18.125" style="2"/>
    <col min="11009" max="11009" width="18.125" style="2" customWidth="1"/>
    <col min="11010" max="11264" width="18.125" style="2"/>
    <col min="11265" max="11265" width="18.125" style="2" customWidth="1"/>
    <col min="11266" max="11520" width="18.125" style="2"/>
    <col min="11521" max="11521" width="18.125" style="2" customWidth="1"/>
    <col min="11522" max="11776" width="18.125" style="2"/>
    <col min="11777" max="11777" width="18.125" style="2" customWidth="1"/>
    <col min="11778" max="12032" width="18.125" style="2"/>
    <col min="12033" max="12033" width="18.125" style="2" customWidth="1"/>
    <col min="12034" max="12288" width="18.125" style="2"/>
    <col min="12289" max="12289" width="18.125" style="2" customWidth="1"/>
    <col min="12290" max="12544" width="18.125" style="2"/>
    <col min="12545" max="12545" width="18.125" style="2" customWidth="1"/>
    <col min="12546" max="12800" width="18.125" style="2"/>
    <col min="12801" max="12801" width="18.125" style="2" customWidth="1"/>
    <col min="12802" max="13056" width="18.125" style="2"/>
    <col min="13057" max="13057" width="18.125" style="2" customWidth="1"/>
    <col min="13058" max="13312" width="18.125" style="2"/>
    <col min="13313" max="13313" width="18.125" style="2" customWidth="1"/>
    <col min="13314" max="13568" width="18.125" style="2"/>
    <col min="13569" max="13569" width="18.125" style="2" customWidth="1"/>
    <col min="13570" max="13824" width="18.125" style="2"/>
    <col min="13825" max="13825" width="18.125" style="2" customWidth="1"/>
    <col min="13826" max="14080" width="18.125" style="2"/>
    <col min="14081" max="14081" width="18.125" style="2" customWidth="1"/>
    <col min="14082" max="14336" width="18.125" style="2"/>
    <col min="14337" max="14337" width="18.125" style="2" customWidth="1"/>
    <col min="14338" max="14592" width="18.125" style="2"/>
    <col min="14593" max="14593" width="18.125" style="2" customWidth="1"/>
    <col min="14594" max="14848" width="18.125" style="2"/>
    <col min="14849" max="14849" width="18.125" style="2" customWidth="1"/>
    <col min="14850" max="15104" width="18.125" style="2"/>
    <col min="15105" max="15105" width="18.125" style="2" customWidth="1"/>
    <col min="15106" max="15360" width="18.125" style="2"/>
    <col min="15361" max="15361" width="18.125" style="2" customWidth="1"/>
    <col min="15362" max="15616" width="18.125" style="2"/>
    <col min="15617" max="15617" width="18.125" style="2" customWidth="1"/>
    <col min="15618" max="15872" width="18.125" style="2"/>
    <col min="15873" max="15873" width="18.125" style="2" customWidth="1"/>
    <col min="15874" max="16128" width="18.125" style="2"/>
    <col min="16129" max="16129" width="18.125" style="2" customWidth="1"/>
    <col min="16130" max="16384" width="18.125" style="2"/>
  </cols>
  <sheetData>
    <row r="1" spans="1:11" s="6" customFormat="1" x14ac:dyDescent="0.2">
      <c r="A1" s="5"/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  <c r="H1" s="6" t="s">
        <v>15</v>
      </c>
      <c r="I1" s="6" t="s">
        <v>16</v>
      </c>
      <c r="J1" s="6" t="s">
        <v>17</v>
      </c>
      <c r="K1" s="6" t="s">
        <v>18</v>
      </c>
    </row>
    <row r="2" spans="1:11" s="4" customFormat="1" ht="38.25" x14ac:dyDescent="0.2">
      <c r="A2" s="3" t="s">
        <v>20</v>
      </c>
      <c r="B2" s="4" t="s">
        <v>19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</row>
    <row r="3" spans="1:11" x14ac:dyDescent="0.2">
      <c r="A3" s="1">
        <v>40147</v>
      </c>
      <c r="B3" s="2">
        <v>44271.56</v>
      </c>
      <c r="C3" s="2">
        <v>534.04</v>
      </c>
      <c r="D3" s="2">
        <v>67641.06</v>
      </c>
      <c r="E3" s="2">
        <v>21007.119999999999</v>
      </c>
      <c r="F3" s="2">
        <v>22573.64</v>
      </c>
      <c r="G3" s="2">
        <v>49122.29</v>
      </c>
      <c r="H3" s="2">
        <v>6283.35</v>
      </c>
      <c r="I3" s="2">
        <v>121884.1</v>
      </c>
      <c r="J3" s="2">
        <v>1533.47</v>
      </c>
      <c r="K3" s="2">
        <v>25837.190000000002</v>
      </c>
    </row>
    <row r="4" spans="1:11" x14ac:dyDescent="0.2">
      <c r="A4" s="1">
        <v>40178</v>
      </c>
      <c r="B4" s="2">
        <v>44382.29</v>
      </c>
      <c r="C4" s="2">
        <v>584.06000000000006</v>
      </c>
      <c r="D4" s="2">
        <v>69655</v>
      </c>
      <c r="E4" s="2">
        <v>21176.82</v>
      </c>
      <c r="F4" s="2">
        <v>22990.02</v>
      </c>
      <c r="G4" s="2">
        <v>49685.42</v>
      </c>
      <c r="H4" s="2">
        <v>6708.3600000000006</v>
      </c>
      <c r="I4" s="2">
        <v>129170.7</v>
      </c>
      <c r="J4" s="2">
        <v>1574.24</v>
      </c>
      <c r="K4" s="2">
        <v>25533.25</v>
      </c>
    </row>
    <row r="5" spans="1:11" x14ac:dyDescent="0.2">
      <c r="A5" s="1">
        <v>40207</v>
      </c>
      <c r="B5" s="2">
        <v>40830.270000000004</v>
      </c>
      <c r="C5" s="2">
        <v>516.29999999999995</v>
      </c>
      <c r="D5" s="2">
        <v>63925.67</v>
      </c>
      <c r="E5" s="2">
        <v>21197</v>
      </c>
      <c r="F5" s="2">
        <v>20818.91</v>
      </c>
      <c r="G5" s="2">
        <v>47259.63</v>
      </c>
      <c r="H5" s="2">
        <v>5645.82</v>
      </c>
      <c r="I5" s="2">
        <v>112477.8</v>
      </c>
      <c r="J5" s="2">
        <v>1483.3</v>
      </c>
      <c r="K5" s="2">
        <v>23934.25</v>
      </c>
    </row>
    <row r="6" spans="1:11" x14ac:dyDescent="0.2">
      <c r="A6" s="1">
        <v>40235</v>
      </c>
      <c r="B6" s="2">
        <v>41820.730000000003</v>
      </c>
      <c r="C6" s="2">
        <v>581.64</v>
      </c>
      <c r="D6" s="2">
        <v>65766</v>
      </c>
      <c r="E6" s="2">
        <v>21661.32</v>
      </c>
      <c r="F6" s="2">
        <v>23348.2</v>
      </c>
      <c r="G6" s="2">
        <v>49165.61</v>
      </c>
      <c r="H6" s="2">
        <v>6024.89</v>
      </c>
      <c r="I6" s="2">
        <v>115789.90000000001</v>
      </c>
      <c r="J6" s="2">
        <v>1455.08</v>
      </c>
      <c r="K6" s="2">
        <v>24638.84</v>
      </c>
    </row>
    <row r="7" spans="1:11" x14ac:dyDescent="0.2">
      <c r="A7" s="1">
        <v>40268</v>
      </c>
      <c r="B7" s="2">
        <v>43205.99</v>
      </c>
      <c r="C7" s="2">
        <v>659.89</v>
      </c>
      <c r="D7" s="2">
        <v>69446.69</v>
      </c>
      <c r="E7" s="2">
        <v>22408.260000000002</v>
      </c>
      <c r="F7" s="2">
        <v>24633.7</v>
      </c>
      <c r="G7" s="2">
        <v>47680.07</v>
      </c>
      <c r="H7" s="2">
        <v>6283.35</v>
      </c>
      <c r="I7" s="2">
        <v>128243.2</v>
      </c>
      <c r="J7" s="2">
        <v>1471.07</v>
      </c>
      <c r="K7" s="2">
        <v>22767.11</v>
      </c>
    </row>
    <row r="8" spans="1:11" x14ac:dyDescent="0.2">
      <c r="A8" s="1">
        <v>40298</v>
      </c>
      <c r="B8" s="2">
        <v>43049.46</v>
      </c>
      <c r="C8" s="2">
        <v>663.12</v>
      </c>
      <c r="D8" s="2">
        <v>67398</v>
      </c>
      <c r="E8" s="2">
        <v>22367.31</v>
      </c>
      <c r="F8" s="2">
        <v>23019.360000000001</v>
      </c>
      <c r="G8" s="2">
        <v>47151.270000000004</v>
      </c>
      <c r="H8" s="2">
        <v>5801.71</v>
      </c>
      <c r="I8" s="2">
        <v>125858.6</v>
      </c>
      <c r="J8" s="2">
        <v>1461.47</v>
      </c>
      <c r="K8" s="2">
        <v>23363.61</v>
      </c>
    </row>
    <row r="9" spans="1:11" x14ac:dyDescent="0.2">
      <c r="A9" s="1">
        <v>40329</v>
      </c>
      <c r="B9" s="2">
        <v>40801.050000000003</v>
      </c>
      <c r="C9" s="2">
        <v>625.86</v>
      </c>
      <c r="D9" s="2">
        <v>63099.14</v>
      </c>
      <c r="E9" s="2">
        <v>22510.95</v>
      </c>
      <c r="F9" s="2">
        <v>22570.93</v>
      </c>
      <c r="G9" s="2">
        <v>46129.01</v>
      </c>
      <c r="H9" s="2">
        <v>5394.38</v>
      </c>
      <c r="I9" s="2">
        <v>126807.5</v>
      </c>
      <c r="J9" s="2">
        <v>1355.94</v>
      </c>
      <c r="K9" s="2">
        <v>20608.82</v>
      </c>
    </row>
    <row r="10" spans="1:11" x14ac:dyDescent="0.2">
      <c r="A10" s="1">
        <v>40359</v>
      </c>
      <c r="B10" s="2">
        <v>41695.879999999997</v>
      </c>
      <c r="C10" s="2">
        <v>629.1</v>
      </c>
      <c r="D10" s="2">
        <v>64308.480000000003</v>
      </c>
      <c r="E10" s="2">
        <v>23387.439999999999</v>
      </c>
      <c r="F10" s="2">
        <v>25291.39</v>
      </c>
      <c r="G10" s="2">
        <v>46574.270000000004</v>
      </c>
      <c r="H10" s="2">
        <v>5353.64</v>
      </c>
      <c r="I10" s="2">
        <v>142584.70000000001</v>
      </c>
      <c r="J10" s="2">
        <v>1413.5</v>
      </c>
      <c r="K10" s="2">
        <v>21092.5</v>
      </c>
    </row>
    <row r="11" spans="1:11" x14ac:dyDescent="0.2">
      <c r="A11" s="1">
        <v>40389</v>
      </c>
      <c r="B11" s="2">
        <v>43561.89</v>
      </c>
      <c r="C11" s="2">
        <v>702.16</v>
      </c>
      <c r="D11" s="2">
        <v>66762.69</v>
      </c>
      <c r="E11" s="2">
        <v>23760.31</v>
      </c>
      <c r="F11" s="2">
        <v>27264.48</v>
      </c>
      <c r="G11" s="2">
        <v>47910.05</v>
      </c>
      <c r="H11" s="2">
        <v>5627.14</v>
      </c>
      <c r="I11" s="2">
        <v>143027</v>
      </c>
      <c r="J11" s="2">
        <v>1570.2</v>
      </c>
      <c r="K11" s="2">
        <v>23222.84</v>
      </c>
    </row>
    <row r="12" spans="1:11" x14ac:dyDescent="0.2">
      <c r="A12" s="1">
        <v>40421</v>
      </c>
      <c r="B12" s="2">
        <v>42636.51</v>
      </c>
      <c r="C12" s="2">
        <v>778.47</v>
      </c>
      <c r="D12" s="2">
        <v>69643.75</v>
      </c>
      <c r="E12" s="2">
        <v>24671.78</v>
      </c>
      <c r="F12" s="2">
        <v>27802.600000000002</v>
      </c>
      <c r="G12" s="2">
        <v>47998.65</v>
      </c>
      <c r="H12" s="2">
        <v>5539.85</v>
      </c>
      <c r="I12" s="2">
        <v>138308.6</v>
      </c>
      <c r="J12" s="2">
        <v>1563.81</v>
      </c>
      <c r="K12" s="2">
        <v>22135.05</v>
      </c>
    </row>
    <row r="13" spans="1:11" x14ac:dyDescent="0.2">
      <c r="A13" s="1">
        <v>40451</v>
      </c>
      <c r="B13" s="2">
        <v>46654.92</v>
      </c>
      <c r="C13" s="2">
        <v>868.93000000000006</v>
      </c>
      <c r="D13" s="2">
        <v>84068</v>
      </c>
      <c r="E13" s="2">
        <v>25893.87</v>
      </c>
      <c r="F13" s="2">
        <v>30283.91</v>
      </c>
      <c r="G13" s="2">
        <v>51327.51</v>
      </c>
      <c r="H13" s="2">
        <v>6470</v>
      </c>
      <c r="I13" s="2">
        <v>144796.4</v>
      </c>
      <c r="J13" s="2">
        <v>1605.38</v>
      </c>
      <c r="K13" s="2">
        <v>23339.13</v>
      </c>
    </row>
    <row r="14" spans="1:11" x14ac:dyDescent="0.2">
      <c r="A14" s="1">
        <v>40480</v>
      </c>
      <c r="B14" s="2">
        <v>48214.37</v>
      </c>
      <c r="C14" s="2">
        <v>860.67000000000007</v>
      </c>
      <c r="D14" s="2">
        <v>84353.94</v>
      </c>
      <c r="E14" s="2">
        <v>26332.75</v>
      </c>
      <c r="F14" s="2">
        <v>31089.98</v>
      </c>
      <c r="G14" s="2">
        <v>51012.62</v>
      </c>
      <c r="H14" s="2">
        <v>6446.58</v>
      </c>
      <c r="I14" s="2">
        <v>138572.4</v>
      </c>
      <c r="J14" s="2">
        <v>1594.25</v>
      </c>
      <c r="K14" s="2">
        <v>23650.09</v>
      </c>
    </row>
    <row r="15" spans="1:11" x14ac:dyDescent="0.2">
      <c r="A15" s="1">
        <v>40512</v>
      </c>
      <c r="B15" s="2">
        <v>48121.22</v>
      </c>
      <c r="C15" s="2">
        <v>934.97</v>
      </c>
      <c r="D15" s="2">
        <v>82066.38</v>
      </c>
      <c r="E15" s="2">
        <v>26708.93</v>
      </c>
      <c r="F15" s="2">
        <v>30123.14</v>
      </c>
      <c r="G15" s="2">
        <v>57970.26</v>
      </c>
      <c r="H15" s="2">
        <v>6411.45</v>
      </c>
      <c r="I15" s="2">
        <v>140649.5</v>
      </c>
      <c r="J15" s="2">
        <v>1584.45</v>
      </c>
      <c r="K15" s="2">
        <v>23242.84</v>
      </c>
    </row>
    <row r="16" spans="1:11" x14ac:dyDescent="0.2">
      <c r="A16" s="1">
        <v>40543</v>
      </c>
      <c r="B16" s="2">
        <v>48186.19</v>
      </c>
      <c r="C16" s="2">
        <v>885.44</v>
      </c>
      <c r="D16" s="2">
        <v>85712.19</v>
      </c>
      <c r="E16" s="2">
        <v>26589.170000000002</v>
      </c>
      <c r="F16" s="2">
        <v>30878.48</v>
      </c>
      <c r="G16" s="2">
        <v>58015.66</v>
      </c>
      <c r="H16" s="2">
        <v>6206.52</v>
      </c>
      <c r="I16" s="2">
        <v>135901.9</v>
      </c>
      <c r="J16" s="2">
        <v>1594.25</v>
      </c>
      <c r="K16" s="2">
        <v>23531.91</v>
      </c>
    </row>
    <row r="17" spans="1:11" x14ac:dyDescent="0.2">
      <c r="A17" s="1">
        <v>40574</v>
      </c>
      <c r="B17" s="2">
        <v>49047.78</v>
      </c>
      <c r="C17" s="2">
        <v>810.72</v>
      </c>
      <c r="D17" s="2">
        <v>91931.5</v>
      </c>
      <c r="E17" s="2">
        <v>26652.38</v>
      </c>
      <c r="F17" s="2">
        <v>29760.57</v>
      </c>
      <c r="G17" s="2">
        <v>58378.82</v>
      </c>
      <c r="H17" s="2">
        <v>6329.4800000000005</v>
      </c>
      <c r="I17" s="2">
        <v>130857.5</v>
      </c>
      <c r="J17" s="2">
        <v>1653.05</v>
      </c>
      <c r="K17" s="2">
        <v>25085.95</v>
      </c>
    </row>
    <row r="18" spans="1:11" x14ac:dyDescent="0.2">
      <c r="A18" s="1">
        <v>40602</v>
      </c>
      <c r="B18" s="2">
        <v>48821.97</v>
      </c>
      <c r="C18" s="2">
        <v>747.15</v>
      </c>
      <c r="D18" s="2">
        <v>86641.5</v>
      </c>
      <c r="E18" s="2">
        <v>26736.66</v>
      </c>
      <c r="F18" s="2">
        <v>28641.96</v>
      </c>
      <c r="G18" s="2">
        <v>56381.41</v>
      </c>
      <c r="H18" s="2">
        <v>5779.09</v>
      </c>
      <c r="I18" s="2">
        <v>129373.8</v>
      </c>
      <c r="J18" s="2">
        <v>1584.45</v>
      </c>
      <c r="K18" s="2">
        <v>26819.88</v>
      </c>
    </row>
    <row r="19" spans="1:11" x14ac:dyDescent="0.2">
      <c r="A19" s="1">
        <v>40633</v>
      </c>
      <c r="B19" s="2">
        <v>49365.53</v>
      </c>
      <c r="C19" s="2">
        <v>769.45</v>
      </c>
      <c r="D19" s="2">
        <v>90644.75</v>
      </c>
      <c r="E19" s="2">
        <v>26894.43</v>
      </c>
      <c r="F19" s="2">
        <v>29218.45</v>
      </c>
      <c r="G19" s="2">
        <v>57887.79</v>
      </c>
      <c r="H19" s="2">
        <v>6311.91</v>
      </c>
      <c r="I19" s="2">
        <v>138424</v>
      </c>
      <c r="J19" s="2">
        <v>1553.96</v>
      </c>
      <c r="K19" s="2">
        <v>24326.78</v>
      </c>
    </row>
    <row r="20" spans="1:11" x14ac:dyDescent="0.2">
      <c r="A20" s="1">
        <v>40662</v>
      </c>
      <c r="B20" s="2">
        <v>49854.720000000001</v>
      </c>
      <c r="C20" s="2">
        <v>799.99</v>
      </c>
      <c r="D20" s="2">
        <v>87356.38</v>
      </c>
      <c r="E20" s="2">
        <v>27322</v>
      </c>
      <c r="F20" s="2">
        <v>31736.75</v>
      </c>
      <c r="G20" s="2">
        <v>55952.05</v>
      </c>
      <c r="H20" s="2">
        <v>6304.84</v>
      </c>
      <c r="I20" s="2">
        <v>143023.4</v>
      </c>
      <c r="J20" s="2">
        <v>1560.6100000000001</v>
      </c>
      <c r="K20" s="2">
        <v>25138.71</v>
      </c>
    </row>
    <row r="21" spans="1:11" x14ac:dyDescent="0.2">
      <c r="A21" s="1">
        <v>40694</v>
      </c>
      <c r="B21" s="2">
        <v>50185.58</v>
      </c>
      <c r="C21" s="2">
        <v>800.77</v>
      </c>
      <c r="D21" s="2">
        <v>88819.13</v>
      </c>
      <c r="E21" s="2">
        <v>28390.93</v>
      </c>
      <c r="F21" s="2">
        <v>30583.79</v>
      </c>
      <c r="G21" s="2">
        <v>57995.91</v>
      </c>
      <c r="H21" s="2">
        <v>6263.32</v>
      </c>
      <c r="I21" s="2">
        <v>148331.80000000002</v>
      </c>
      <c r="J21" s="2">
        <v>1620.51</v>
      </c>
      <c r="K21" s="2">
        <v>24538.25</v>
      </c>
    </row>
    <row r="22" spans="1:11" x14ac:dyDescent="0.2">
      <c r="A22" s="1">
        <v>40724</v>
      </c>
      <c r="B22" s="2">
        <v>47794.04</v>
      </c>
      <c r="C22" s="2">
        <v>774.13</v>
      </c>
      <c r="D22" s="2">
        <v>83053.56</v>
      </c>
      <c r="E22" s="2">
        <v>29711.61</v>
      </c>
      <c r="F22" s="2">
        <v>29916.29</v>
      </c>
      <c r="G22" s="2">
        <v>57809.87</v>
      </c>
      <c r="H22" s="2">
        <v>5948.97</v>
      </c>
      <c r="I22" s="2">
        <v>146019.30000000002</v>
      </c>
      <c r="J22" s="2">
        <v>1640.47</v>
      </c>
      <c r="K22" s="2">
        <v>23127.22</v>
      </c>
    </row>
    <row r="23" spans="1:11" x14ac:dyDescent="0.2">
      <c r="A23" s="1">
        <v>40753</v>
      </c>
      <c r="B23" s="2">
        <v>47885.19</v>
      </c>
      <c r="C23" s="2">
        <v>775.85</v>
      </c>
      <c r="D23" s="2">
        <v>86921.63</v>
      </c>
      <c r="E23" s="2">
        <v>31025.9</v>
      </c>
      <c r="F23" s="2">
        <v>28459.920000000002</v>
      </c>
      <c r="G23" s="2">
        <v>56972.72</v>
      </c>
      <c r="H23" s="2">
        <v>5860</v>
      </c>
      <c r="I23" s="2">
        <v>157581.9</v>
      </c>
      <c r="J23" s="2">
        <v>1680.4</v>
      </c>
      <c r="K23" s="2">
        <v>23044.91</v>
      </c>
    </row>
    <row r="24" spans="1:11" x14ac:dyDescent="0.2">
      <c r="A24" s="1">
        <v>40786</v>
      </c>
      <c r="B24" s="2">
        <v>43943.05</v>
      </c>
      <c r="C24" s="2">
        <v>673.61</v>
      </c>
      <c r="D24" s="2">
        <v>79769.38</v>
      </c>
      <c r="E24" s="2">
        <v>31090.54</v>
      </c>
      <c r="F24" s="2">
        <v>27610.37</v>
      </c>
      <c r="G24" s="2">
        <v>53867.590000000004</v>
      </c>
      <c r="H24" s="2">
        <v>5391.4400000000005</v>
      </c>
      <c r="I24" s="2">
        <v>151305.1</v>
      </c>
      <c r="J24" s="2">
        <v>1633.82</v>
      </c>
      <c r="K24" s="2">
        <v>20317.939999999999</v>
      </c>
    </row>
    <row r="25" spans="1:11" x14ac:dyDescent="0.2">
      <c r="A25" s="1">
        <v>40816</v>
      </c>
      <c r="B25" s="2">
        <v>37866.629999999997</v>
      </c>
      <c r="C25" s="2">
        <v>556.38</v>
      </c>
      <c r="D25" s="2">
        <v>62806.93</v>
      </c>
      <c r="E25" s="2">
        <v>30620.63</v>
      </c>
      <c r="F25" s="2">
        <v>24181.82</v>
      </c>
      <c r="G25" s="2">
        <v>43136.340000000004</v>
      </c>
      <c r="H25" s="2">
        <v>4233.88</v>
      </c>
      <c r="I25" s="2">
        <v>146475.9</v>
      </c>
      <c r="J25" s="2">
        <v>1494.06</v>
      </c>
      <c r="K25" s="2">
        <v>18468.82</v>
      </c>
    </row>
    <row r="26" spans="1:11" x14ac:dyDescent="0.2">
      <c r="A26" s="1">
        <v>40847</v>
      </c>
      <c r="B26" s="2">
        <v>42768.92</v>
      </c>
      <c r="C26" s="2">
        <v>621.58000000000004</v>
      </c>
      <c r="D26" s="2">
        <v>71758.38</v>
      </c>
      <c r="E26" s="2">
        <v>30186.61</v>
      </c>
      <c r="F26" s="2">
        <v>29322.5</v>
      </c>
      <c r="G26" s="2">
        <v>47527.47</v>
      </c>
      <c r="H26" s="2">
        <v>5141.5600000000004</v>
      </c>
      <c r="I26" s="2">
        <v>146642.30000000002</v>
      </c>
      <c r="J26" s="2">
        <v>1419.19</v>
      </c>
      <c r="K26" s="2">
        <v>21274.29</v>
      </c>
    </row>
    <row r="27" spans="1:11" x14ac:dyDescent="0.2">
      <c r="A27" s="1">
        <v>40877</v>
      </c>
      <c r="B27" s="2">
        <v>38817.58</v>
      </c>
      <c r="C27" s="2">
        <v>589.41</v>
      </c>
      <c r="D27" s="2">
        <v>62770.239999999998</v>
      </c>
      <c r="E27" s="2">
        <v>29622.38</v>
      </c>
      <c r="F27" s="2">
        <v>24988.66</v>
      </c>
      <c r="G27" s="2">
        <v>44440.88</v>
      </c>
      <c r="H27" s="2">
        <v>4454.82</v>
      </c>
      <c r="I27" s="2">
        <v>147639.80000000002</v>
      </c>
      <c r="J27" s="2">
        <v>1395.42</v>
      </c>
      <c r="K27" s="2">
        <v>17552.52</v>
      </c>
    </row>
    <row r="28" spans="1:11" x14ac:dyDescent="0.2">
      <c r="A28" s="1">
        <v>40907</v>
      </c>
      <c r="B28" s="2">
        <v>39809.230000000003</v>
      </c>
      <c r="C28" s="2">
        <v>578.98</v>
      </c>
      <c r="D28" s="2">
        <v>67796.25</v>
      </c>
      <c r="E28" s="2">
        <v>28888.68</v>
      </c>
      <c r="F28" s="2">
        <v>26156.639999999999</v>
      </c>
      <c r="G28" s="2">
        <v>43799.22</v>
      </c>
      <c r="H28" s="2">
        <v>4610.09</v>
      </c>
      <c r="I28" s="2">
        <v>149635</v>
      </c>
      <c r="J28" s="2">
        <v>1388.43</v>
      </c>
      <c r="K28" s="2">
        <v>18097.61</v>
      </c>
    </row>
    <row r="29" spans="1:11" x14ac:dyDescent="0.2">
      <c r="A29" s="1">
        <v>40939</v>
      </c>
      <c r="B29" s="2">
        <v>44033.450000000004</v>
      </c>
      <c r="C29" s="2">
        <v>667.66</v>
      </c>
      <c r="D29" s="2">
        <v>76600.94</v>
      </c>
      <c r="E29" s="2">
        <v>27773.38</v>
      </c>
      <c r="F29" s="2">
        <v>30275.32</v>
      </c>
      <c r="G29" s="2">
        <v>47577.88</v>
      </c>
      <c r="H29" s="2">
        <v>5028.1000000000004</v>
      </c>
      <c r="I29" s="2">
        <v>152960.1</v>
      </c>
      <c r="J29" s="2">
        <v>1415.69</v>
      </c>
      <c r="K29" s="2">
        <v>20045.16</v>
      </c>
    </row>
    <row r="30" spans="1:11" x14ac:dyDescent="0.2">
      <c r="A30" s="1">
        <v>40968</v>
      </c>
      <c r="B30" s="2">
        <v>46818.340000000004</v>
      </c>
      <c r="C30" s="2">
        <v>669.39</v>
      </c>
      <c r="D30" s="2">
        <v>83204.5</v>
      </c>
      <c r="E30" s="2">
        <v>29960.260000000002</v>
      </c>
      <c r="F30" s="2">
        <v>32334.66</v>
      </c>
      <c r="G30" s="2">
        <v>51617.96</v>
      </c>
      <c r="H30" s="2">
        <v>5816.36</v>
      </c>
      <c r="I30" s="2">
        <v>164598.39999999999</v>
      </c>
      <c r="J30" s="2">
        <v>1653.39</v>
      </c>
      <c r="K30" s="2">
        <v>21624.49</v>
      </c>
    </row>
    <row r="31" spans="1:11" x14ac:dyDescent="0.2">
      <c r="A31" s="1">
        <v>40998</v>
      </c>
      <c r="B31" s="2">
        <v>44540.020000000004</v>
      </c>
      <c r="C31" s="2">
        <v>625.06000000000006</v>
      </c>
      <c r="D31" s="2">
        <v>73592.69</v>
      </c>
      <c r="E31" s="2">
        <v>29720.66</v>
      </c>
      <c r="F31" s="2">
        <v>30890.05</v>
      </c>
      <c r="G31" s="2">
        <v>49939.770000000004</v>
      </c>
      <c r="H31" s="2">
        <v>5117.68</v>
      </c>
      <c r="I31" s="2">
        <v>165429.80000000002</v>
      </c>
      <c r="J31" s="2">
        <v>1518.68</v>
      </c>
      <c r="K31" s="2">
        <v>21233.54</v>
      </c>
    </row>
    <row r="32" spans="1:11" x14ac:dyDescent="0.2">
      <c r="A32" s="1">
        <v>41029</v>
      </c>
      <c r="B32" s="2">
        <v>45743.49</v>
      </c>
      <c r="C32" s="2">
        <v>585.94000000000005</v>
      </c>
      <c r="D32" s="2">
        <v>75720.5</v>
      </c>
      <c r="E32" s="2">
        <v>29476.68</v>
      </c>
      <c r="F32" s="2">
        <v>30167.27</v>
      </c>
      <c r="G32" s="2">
        <v>51585.06</v>
      </c>
      <c r="H32" s="2">
        <v>5278.91</v>
      </c>
      <c r="I32" s="2">
        <v>164930.9</v>
      </c>
      <c r="J32" s="2">
        <v>1486.6000000000001</v>
      </c>
      <c r="K32" s="2">
        <v>21987.9</v>
      </c>
    </row>
    <row r="33" spans="1:11" x14ac:dyDescent="0.2">
      <c r="A33" s="1">
        <v>41060</v>
      </c>
      <c r="B33" s="2">
        <v>40841.17</v>
      </c>
      <c r="C33" s="2">
        <v>533.4</v>
      </c>
      <c r="D33" s="2">
        <v>67584.25</v>
      </c>
      <c r="E33" s="2">
        <v>28035.010000000002</v>
      </c>
      <c r="F33" s="2">
        <v>27813.360000000001</v>
      </c>
      <c r="G33" s="2">
        <v>49042.96</v>
      </c>
      <c r="H33" s="2">
        <v>4669.8</v>
      </c>
      <c r="I33" s="2">
        <v>151463.80000000002</v>
      </c>
      <c r="J33" s="2">
        <v>1440.25</v>
      </c>
      <c r="K33" s="2">
        <v>19120.420000000002</v>
      </c>
    </row>
    <row r="34" spans="1:11" x14ac:dyDescent="0.2">
      <c r="A34" s="1">
        <v>41089</v>
      </c>
      <c r="B34" s="2">
        <v>43092.42</v>
      </c>
      <c r="C34" s="2">
        <v>554.77</v>
      </c>
      <c r="D34" s="2">
        <v>71435.38</v>
      </c>
      <c r="E34" s="2">
        <v>29409.22</v>
      </c>
      <c r="F34" s="2">
        <v>29454.9</v>
      </c>
      <c r="G34" s="2">
        <v>51830.05</v>
      </c>
      <c r="H34" s="2">
        <v>5181.9400000000005</v>
      </c>
      <c r="I34" s="2">
        <v>153496.80000000002</v>
      </c>
      <c r="J34" s="2">
        <v>1575.72</v>
      </c>
      <c r="K34" s="2">
        <v>21473.360000000001</v>
      </c>
    </row>
    <row r="35" spans="1:11" x14ac:dyDescent="0.2">
      <c r="A35" s="1">
        <v>41121</v>
      </c>
      <c r="B35" s="2">
        <v>43884.58</v>
      </c>
      <c r="C35" s="2">
        <v>571.69000000000005</v>
      </c>
      <c r="D35" s="2">
        <v>77098.880000000005</v>
      </c>
      <c r="E35" s="2">
        <v>29968.33</v>
      </c>
      <c r="F35" s="2">
        <v>31158.39</v>
      </c>
      <c r="G35" s="2">
        <v>52759.08</v>
      </c>
      <c r="H35" s="2">
        <v>5491.76</v>
      </c>
      <c r="I35" s="2">
        <v>167892.9</v>
      </c>
      <c r="J35" s="2">
        <v>1611.3700000000001</v>
      </c>
      <c r="K35" s="2">
        <v>20638.439999999999</v>
      </c>
    </row>
    <row r="36" spans="1:11" x14ac:dyDescent="0.2">
      <c r="A36" s="1">
        <v>41152</v>
      </c>
      <c r="B36" s="2">
        <v>43310.29</v>
      </c>
      <c r="C36" s="2">
        <v>562.79</v>
      </c>
      <c r="D36" s="2">
        <v>79666.31</v>
      </c>
      <c r="E36" s="2">
        <v>28917.200000000001</v>
      </c>
      <c r="F36" s="2">
        <v>30095.37</v>
      </c>
      <c r="G36" s="2">
        <v>54521.79</v>
      </c>
      <c r="H36" s="2">
        <v>5795.51</v>
      </c>
      <c r="I36" s="2">
        <v>170884.4</v>
      </c>
      <c r="J36" s="2">
        <v>1771.8</v>
      </c>
      <c r="K36" s="2">
        <v>21171.260000000002</v>
      </c>
    </row>
    <row r="37" spans="1:11" x14ac:dyDescent="0.2">
      <c r="A37" s="1">
        <v>41180</v>
      </c>
      <c r="B37" s="2">
        <v>46552.15</v>
      </c>
      <c r="C37" s="2">
        <v>561.9</v>
      </c>
      <c r="D37" s="2">
        <v>86273.94</v>
      </c>
      <c r="E37" s="2">
        <v>29717.77</v>
      </c>
      <c r="F37" s="2">
        <v>30561.72</v>
      </c>
      <c r="G37" s="2">
        <v>58719.58</v>
      </c>
      <c r="H37" s="2">
        <v>6824.16</v>
      </c>
      <c r="I37" s="2">
        <v>184978.1</v>
      </c>
      <c r="J37" s="2">
        <v>1910.83</v>
      </c>
      <c r="K37" s="2">
        <v>23086.83</v>
      </c>
    </row>
    <row r="38" spans="1:11" x14ac:dyDescent="0.2">
      <c r="A38" s="1">
        <v>41213</v>
      </c>
      <c r="B38" s="2">
        <v>48416.68</v>
      </c>
      <c r="C38" s="2">
        <v>625.12</v>
      </c>
      <c r="D38" s="2">
        <v>86881</v>
      </c>
      <c r="E38" s="2">
        <v>29807.96</v>
      </c>
      <c r="F38" s="2">
        <v>28540.86</v>
      </c>
      <c r="G38" s="2">
        <v>59310.840000000004</v>
      </c>
      <c r="H38" s="2">
        <v>6567.33</v>
      </c>
      <c r="I38" s="2">
        <v>193822.5</v>
      </c>
      <c r="J38" s="2">
        <v>2056.33</v>
      </c>
      <c r="K38" s="2">
        <v>24258.639999999999</v>
      </c>
    </row>
    <row r="39" spans="1:11" x14ac:dyDescent="0.2">
      <c r="A39" s="1">
        <v>41243</v>
      </c>
      <c r="B39" s="2">
        <v>49327.380000000005</v>
      </c>
      <c r="C39" s="2">
        <v>606.41999999999996</v>
      </c>
      <c r="D39" s="2">
        <v>89764.38</v>
      </c>
      <c r="E39" s="2">
        <v>30642.22</v>
      </c>
      <c r="F39" s="2">
        <v>26861.98</v>
      </c>
      <c r="G39" s="2">
        <v>59011.79</v>
      </c>
      <c r="H39" s="2">
        <v>6750.78</v>
      </c>
      <c r="I39" s="2">
        <v>197586.1</v>
      </c>
      <c r="J39" s="2">
        <v>2247.61</v>
      </c>
      <c r="K39" s="2">
        <v>25082.83</v>
      </c>
    </row>
    <row r="40" spans="1:11" x14ac:dyDescent="0.2">
      <c r="A40" s="1">
        <v>41274</v>
      </c>
      <c r="B40" s="2">
        <v>50739.47</v>
      </c>
      <c r="C40" s="2">
        <v>633.14</v>
      </c>
      <c r="D40" s="2">
        <v>90295.56</v>
      </c>
      <c r="E40" s="2">
        <v>29474.91</v>
      </c>
      <c r="F40" s="2">
        <v>27390.510000000002</v>
      </c>
      <c r="G40" s="2">
        <v>59161.32</v>
      </c>
      <c r="H40" s="2">
        <v>6689.63</v>
      </c>
      <c r="I40" s="2">
        <v>198997.4</v>
      </c>
      <c r="J40" s="2">
        <v>2446.2600000000002</v>
      </c>
      <c r="K40" s="2">
        <v>25967.9</v>
      </c>
    </row>
    <row r="41" spans="1:11" x14ac:dyDescent="0.2">
      <c r="A41" s="1">
        <v>41305</v>
      </c>
      <c r="B41" s="2">
        <v>53141.55</v>
      </c>
      <c r="C41" s="2">
        <v>670.54</v>
      </c>
      <c r="D41" s="2">
        <v>96517.56</v>
      </c>
      <c r="E41" s="2">
        <v>29974.880000000001</v>
      </c>
      <c r="F41" s="2">
        <v>29255.93</v>
      </c>
      <c r="G41" s="2">
        <v>63298.130000000005</v>
      </c>
      <c r="H41" s="2">
        <v>6824.16</v>
      </c>
      <c r="I41" s="2">
        <v>206995</v>
      </c>
      <c r="J41" s="2">
        <v>2354.29</v>
      </c>
      <c r="K41" s="2">
        <v>28287.38</v>
      </c>
    </row>
    <row r="42" spans="1:11" x14ac:dyDescent="0.2">
      <c r="A42" s="1">
        <v>41333</v>
      </c>
      <c r="B42" s="2">
        <v>51564.74</v>
      </c>
      <c r="C42" s="2">
        <v>644.71</v>
      </c>
      <c r="D42" s="2">
        <v>91509.56</v>
      </c>
      <c r="E42" s="2">
        <v>30338.48</v>
      </c>
      <c r="F42" s="2">
        <v>29380.3</v>
      </c>
      <c r="G42" s="2">
        <v>62500.66</v>
      </c>
      <c r="H42" s="2">
        <v>6597.91</v>
      </c>
      <c r="I42" s="2">
        <v>204172.30000000002</v>
      </c>
      <c r="J42" s="2">
        <v>2494.08</v>
      </c>
      <c r="K42" s="2">
        <v>27590.31</v>
      </c>
    </row>
    <row r="43" spans="1:11" x14ac:dyDescent="0.2">
      <c r="A43" s="1">
        <v>41362</v>
      </c>
      <c r="B43" s="2">
        <v>50122.54</v>
      </c>
      <c r="C43" s="2">
        <v>591.28</v>
      </c>
      <c r="D43" s="2">
        <v>86956.88</v>
      </c>
      <c r="E43" s="2">
        <v>31358.690000000002</v>
      </c>
      <c r="F43" s="2">
        <v>27110.7</v>
      </c>
      <c r="G43" s="2">
        <v>63047.32</v>
      </c>
      <c r="H43" s="2">
        <v>6493.95</v>
      </c>
      <c r="I43" s="2">
        <v>213110.7</v>
      </c>
      <c r="J43" s="2">
        <v>2345</v>
      </c>
      <c r="K43" s="2">
        <v>26447.440000000002</v>
      </c>
    </row>
    <row r="44" spans="1:11" x14ac:dyDescent="0.2">
      <c r="A44" s="1">
        <v>41394</v>
      </c>
      <c r="B44" s="2">
        <v>51139.83</v>
      </c>
      <c r="C44" s="2">
        <v>611.03</v>
      </c>
      <c r="D44" s="2">
        <v>88626.19</v>
      </c>
      <c r="E44" s="2">
        <v>31543.15</v>
      </c>
      <c r="F44" s="2">
        <v>28780.81</v>
      </c>
      <c r="G44" s="2">
        <v>65731.25</v>
      </c>
      <c r="H44" s="2">
        <v>6873.07</v>
      </c>
      <c r="I44" s="2">
        <v>219696.9</v>
      </c>
      <c r="J44" s="2">
        <v>2236.89</v>
      </c>
      <c r="K44" s="2">
        <v>27358.89</v>
      </c>
    </row>
    <row r="45" spans="1:11" x14ac:dyDescent="0.2">
      <c r="A45" s="1">
        <v>41425</v>
      </c>
      <c r="B45" s="2">
        <v>50692.72</v>
      </c>
      <c r="C45" s="2">
        <v>648.66</v>
      </c>
      <c r="D45" s="2">
        <v>85255.5</v>
      </c>
      <c r="E45" s="2">
        <v>30473.260000000002</v>
      </c>
      <c r="F45" s="2">
        <v>26797</v>
      </c>
      <c r="G45" s="2">
        <v>63839.040000000001</v>
      </c>
      <c r="H45" s="2">
        <v>6689.63</v>
      </c>
      <c r="I45" s="2">
        <v>206995</v>
      </c>
      <c r="J45" s="2">
        <v>2091.4900000000002</v>
      </c>
      <c r="K45" s="2">
        <v>27982.37</v>
      </c>
    </row>
    <row r="46" spans="1:11" x14ac:dyDescent="0.2">
      <c r="A46" s="1">
        <v>41453</v>
      </c>
      <c r="B46" s="2">
        <v>47786.3</v>
      </c>
      <c r="C46" s="2">
        <v>607.45000000000005</v>
      </c>
      <c r="D46" s="2">
        <v>81683.81</v>
      </c>
      <c r="E46" s="2">
        <v>29171.59</v>
      </c>
      <c r="F46" s="2">
        <v>26261.7</v>
      </c>
      <c r="G46" s="2">
        <v>58578.700000000004</v>
      </c>
      <c r="H46" s="2">
        <v>6307.93</v>
      </c>
      <c r="I46" s="2">
        <v>198392.9</v>
      </c>
      <c r="J46" s="2">
        <v>1927.45</v>
      </c>
      <c r="K46" s="2">
        <v>26497.4</v>
      </c>
    </row>
    <row r="47" spans="1:11" x14ac:dyDescent="0.2">
      <c r="A47" s="1">
        <v>41486</v>
      </c>
      <c r="B47" s="2">
        <v>50275</v>
      </c>
      <c r="C47" s="2">
        <v>643.28</v>
      </c>
      <c r="D47" s="2">
        <v>84634.38</v>
      </c>
      <c r="E47" s="2">
        <v>29892.15</v>
      </c>
      <c r="F47" s="2">
        <v>25159.59</v>
      </c>
      <c r="G47" s="2">
        <v>60621.55</v>
      </c>
      <c r="H47" s="2">
        <v>6594.04</v>
      </c>
      <c r="I47" s="2">
        <v>208019.6</v>
      </c>
      <c r="J47" s="2">
        <v>1834.25</v>
      </c>
      <c r="K47" s="2">
        <v>28531.86</v>
      </c>
    </row>
    <row r="48" spans="1:11" x14ac:dyDescent="0.2">
      <c r="A48" s="1">
        <v>41516</v>
      </c>
      <c r="B48" s="2">
        <v>50056.66</v>
      </c>
      <c r="C48" s="2">
        <v>595.80000000000007</v>
      </c>
      <c r="D48" s="2">
        <v>85954.31</v>
      </c>
      <c r="E48" s="2">
        <v>28822.920000000002</v>
      </c>
      <c r="F48" s="2">
        <v>23963.010000000002</v>
      </c>
      <c r="G48" s="2">
        <v>62088.090000000004</v>
      </c>
      <c r="H48" s="2">
        <v>6198.9400000000005</v>
      </c>
      <c r="I48" s="2">
        <v>187510.6</v>
      </c>
      <c r="J48" s="2">
        <v>1834.25</v>
      </c>
      <c r="K48" s="2">
        <v>26945.5</v>
      </c>
    </row>
    <row r="49" spans="1:11" x14ac:dyDescent="0.2">
      <c r="A49" s="1">
        <v>41547</v>
      </c>
      <c r="B49" s="2">
        <v>52900.89</v>
      </c>
      <c r="C49" s="2">
        <v>683.97</v>
      </c>
      <c r="D49" s="2">
        <v>92170.38</v>
      </c>
      <c r="E49" s="2">
        <v>29608.09</v>
      </c>
      <c r="F49" s="2">
        <v>26198.66</v>
      </c>
      <c r="G49" s="2">
        <v>65179.61</v>
      </c>
      <c r="H49" s="2">
        <v>6570.77</v>
      </c>
      <c r="I49" s="2">
        <v>196529.9</v>
      </c>
      <c r="J49" s="2">
        <v>1934.91</v>
      </c>
      <c r="K49" s="2">
        <v>27815.190000000002</v>
      </c>
    </row>
    <row r="50" spans="1:11" x14ac:dyDescent="0.2">
      <c r="A50" s="1">
        <v>41578</v>
      </c>
      <c r="B50" s="2">
        <v>53789.880000000005</v>
      </c>
      <c r="C50" s="2">
        <v>692.07</v>
      </c>
      <c r="D50" s="2">
        <v>94589.81</v>
      </c>
      <c r="E50" s="2">
        <v>29256.45</v>
      </c>
      <c r="F50" s="2">
        <v>25945.54</v>
      </c>
      <c r="G50" s="2">
        <v>67039.81</v>
      </c>
      <c r="H50" s="2">
        <v>6303.28</v>
      </c>
      <c r="I50" s="2">
        <v>190842.6</v>
      </c>
      <c r="J50" s="2">
        <v>1987.3400000000001</v>
      </c>
      <c r="K50" s="2">
        <v>28287.79</v>
      </c>
    </row>
    <row r="51" spans="1:11" x14ac:dyDescent="0.2">
      <c r="A51" s="1">
        <v>41607</v>
      </c>
      <c r="B51" s="2">
        <v>55389.79</v>
      </c>
      <c r="C51" s="2">
        <v>738.86</v>
      </c>
      <c r="D51" s="2">
        <v>95682.38</v>
      </c>
      <c r="E51" s="2">
        <v>29795.63</v>
      </c>
      <c r="F51" s="2">
        <v>25977.170000000002</v>
      </c>
      <c r="G51" s="2">
        <v>65740.63</v>
      </c>
      <c r="H51" s="2">
        <v>6220.97</v>
      </c>
      <c r="I51" s="2">
        <v>192527.80000000002</v>
      </c>
      <c r="J51" s="2">
        <v>1979.72</v>
      </c>
      <c r="K51" s="2">
        <v>28768.73</v>
      </c>
    </row>
    <row r="52" spans="1:11" x14ac:dyDescent="0.2">
      <c r="A52" s="1">
        <v>41639</v>
      </c>
      <c r="B52" s="2">
        <v>54063.520000000004</v>
      </c>
      <c r="C52" s="2">
        <v>737.96</v>
      </c>
      <c r="D52" s="2">
        <v>95526.31</v>
      </c>
      <c r="E52" s="2">
        <v>28982.5</v>
      </c>
      <c r="F52" s="2">
        <v>24774.82</v>
      </c>
      <c r="G52" s="2">
        <v>65324.87</v>
      </c>
      <c r="H52" s="2">
        <v>6070.08</v>
      </c>
      <c r="I52" s="2">
        <v>187261.80000000002</v>
      </c>
      <c r="J52" s="2">
        <v>1998.76</v>
      </c>
      <c r="K52" s="2">
        <v>28060.400000000001</v>
      </c>
    </row>
    <row r="53" spans="1:11" x14ac:dyDescent="0.2">
      <c r="A53" s="1">
        <v>41670</v>
      </c>
      <c r="B53" s="2">
        <v>51115.26</v>
      </c>
      <c r="C53" s="2">
        <v>724.47</v>
      </c>
      <c r="D53" s="2">
        <v>89673</v>
      </c>
      <c r="E53" s="2">
        <v>27705.95</v>
      </c>
      <c r="F53" s="2">
        <v>22528.31</v>
      </c>
      <c r="G53" s="2">
        <v>63142.18</v>
      </c>
      <c r="H53" s="2">
        <v>5734</v>
      </c>
      <c r="I53" s="2">
        <v>168303.9</v>
      </c>
      <c r="J53" s="2">
        <v>2052.06</v>
      </c>
      <c r="K53" s="2">
        <v>27099.040000000001</v>
      </c>
    </row>
    <row r="54" spans="1:11" x14ac:dyDescent="0.2">
      <c r="A54" s="1">
        <v>41698</v>
      </c>
      <c r="B54" s="2">
        <v>53005</v>
      </c>
      <c r="C54" s="2">
        <v>710.97</v>
      </c>
      <c r="D54" s="2">
        <v>94901.94</v>
      </c>
      <c r="E54" s="2">
        <v>28627.9</v>
      </c>
      <c r="F54" s="2">
        <v>23066.21</v>
      </c>
      <c r="G54" s="2">
        <v>65376.840000000004</v>
      </c>
      <c r="H54" s="2">
        <v>5967.2</v>
      </c>
      <c r="I54" s="2">
        <v>176097.5</v>
      </c>
      <c r="J54" s="2">
        <v>2036.4</v>
      </c>
      <c r="K54" s="2">
        <v>27631.200000000001</v>
      </c>
    </row>
    <row r="55" spans="1:11" x14ac:dyDescent="0.2">
      <c r="A55" s="1">
        <v>41729</v>
      </c>
      <c r="B55" s="2">
        <v>51602.44</v>
      </c>
      <c r="C55" s="2">
        <v>650.66999999999996</v>
      </c>
      <c r="D55" s="2">
        <v>100365.1</v>
      </c>
      <c r="E55" s="2">
        <v>28120.04</v>
      </c>
      <c r="F55" s="2">
        <v>24711.53</v>
      </c>
      <c r="G55" s="2">
        <v>65344.65</v>
      </c>
      <c r="H55" s="2">
        <v>6207.26</v>
      </c>
      <c r="I55" s="2">
        <v>178204.1</v>
      </c>
      <c r="J55" s="2">
        <v>2067.4299999999998</v>
      </c>
      <c r="K55" s="2">
        <v>26489.13</v>
      </c>
    </row>
    <row r="56" spans="1:11" x14ac:dyDescent="0.2">
      <c r="A56" s="1">
        <v>41759</v>
      </c>
      <c r="B56" s="2">
        <v>51610.78</v>
      </c>
      <c r="C56" s="2">
        <v>666.05000000000007</v>
      </c>
      <c r="D56" s="2">
        <v>103018.6</v>
      </c>
      <c r="E56" s="2">
        <v>29802.440000000002</v>
      </c>
      <c r="F56" s="2">
        <v>27006.38</v>
      </c>
      <c r="G56" s="2">
        <v>66826.13</v>
      </c>
      <c r="H56" s="2">
        <v>6337.57</v>
      </c>
      <c r="I56" s="2">
        <v>188314.80000000002</v>
      </c>
      <c r="J56" s="2">
        <v>2071.31</v>
      </c>
      <c r="K56" s="2">
        <v>26627.96</v>
      </c>
    </row>
    <row r="57" spans="1:11" x14ac:dyDescent="0.2">
      <c r="A57" s="1">
        <v>41789</v>
      </c>
      <c r="B57" s="2">
        <v>54420.73</v>
      </c>
      <c r="C57" s="2">
        <v>642.39</v>
      </c>
      <c r="D57" s="2">
        <v>116661.2</v>
      </c>
      <c r="E57" s="2">
        <v>30927.23</v>
      </c>
      <c r="F57" s="2">
        <v>28033.97</v>
      </c>
      <c r="G57" s="2">
        <v>68316.88</v>
      </c>
      <c r="H57" s="2">
        <v>6927.4400000000005</v>
      </c>
      <c r="I57" s="2">
        <v>197372.5</v>
      </c>
      <c r="J57" s="2">
        <v>2090.6999999999998</v>
      </c>
      <c r="K57" s="2">
        <v>27786.57</v>
      </c>
    </row>
    <row r="58" spans="1:11" x14ac:dyDescent="0.2">
      <c r="A58" s="1">
        <v>41820</v>
      </c>
      <c r="B58" s="2">
        <v>55140.590000000004</v>
      </c>
      <c r="C58" s="2">
        <v>658.77</v>
      </c>
      <c r="D58" s="2">
        <v>115818.90000000001</v>
      </c>
      <c r="E58" s="2">
        <v>30830.29</v>
      </c>
      <c r="F58" s="2">
        <v>26942.16</v>
      </c>
      <c r="G58" s="2">
        <v>67569.63</v>
      </c>
      <c r="H58" s="2">
        <v>6942.5</v>
      </c>
      <c r="I58" s="2">
        <v>198924.80000000002</v>
      </c>
      <c r="J58" s="2">
        <v>2094.58</v>
      </c>
      <c r="K58" s="2">
        <v>26815.63</v>
      </c>
    </row>
    <row r="59" spans="1:11" x14ac:dyDescent="0.2">
      <c r="A59" s="1">
        <v>41851</v>
      </c>
      <c r="B59" s="2">
        <v>59255.91</v>
      </c>
      <c r="C59" s="2">
        <v>669.69</v>
      </c>
      <c r="D59" s="2">
        <v>126937.5</v>
      </c>
      <c r="E59" s="2">
        <v>31290.799999999999</v>
      </c>
      <c r="F59" s="2">
        <v>26781.59</v>
      </c>
      <c r="G59" s="2">
        <v>70345</v>
      </c>
      <c r="H59" s="2">
        <v>7570.16</v>
      </c>
      <c r="I59" s="2">
        <v>198924.80000000002</v>
      </c>
      <c r="J59" s="2">
        <v>2094.58</v>
      </c>
      <c r="K59" s="2">
        <v>28604.400000000001</v>
      </c>
    </row>
    <row r="60" spans="1:11" x14ac:dyDescent="0.2">
      <c r="A60" s="1">
        <v>41880</v>
      </c>
      <c r="B60" s="2">
        <v>59366.55</v>
      </c>
      <c r="C60" s="2">
        <v>655.13</v>
      </c>
      <c r="D60" s="2">
        <v>119019.7</v>
      </c>
      <c r="E60" s="2">
        <v>31799.79</v>
      </c>
      <c r="F60" s="2">
        <v>27809.18</v>
      </c>
      <c r="G60" s="2">
        <v>70456.75</v>
      </c>
      <c r="H60" s="2">
        <v>7861.03</v>
      </c>
      <c r="I60" s="2">
        <v>206196.7</v>
      </c>
      <c r="J60" s="2">
        <v>2160.52</v>
      </c>
      <c r="K60" s="2">
        <v>28759.84</v>
      </c>
    </row>
    <row r="61" spans="1:11" x14ac:dyDescent="0.2">
      <c r="A61" s="1">
        <v>41912</v>
      </c>
      <c r="B61" s="2">
        <v>55253.5</v>
      </c>
      <c r="C61" s="2">
        <v>655.13</v>
      </c>
      <c r="D61" s="2">
        <v>108218</v>
      </c>
      <c r="E61" s="2">
        <v>30470.7</v>
      </c>
      <c r="F61" s="2">
        <v>24800.690000000002</v>
      </c>
      <c r="G61" s="2">
        <v>67119.56</v>
      </c>
      <c r="H61" s="2">
        <v>7747.71</v>
      </c>
      <c r="I61" s="2">
        <v>198870.2</v>
      </c>
      <c r="J61" s="2">
        <v>2110.1</v>
      </c>
      <c r="K61" s="2">
        <v>27454.61</v>
      </c>
    </row>
    <row r="62" spans="1:11" x14ac:dyDescent="0.2">
      <c r="A62" s="1">
        <v>41943</v>
      </c>
      <c r="B62" s="2">
        <v>57914.76</v>
      </c>
      <c r="C62" s="2">
        <v>666.12</v>
      </c>
      <c r="D62" s="2">
        <v>116425.3</v>
      </c>
      <c r="E62" s="2">
        <v>32621</v>
      </c>
      <c r="F62" s="2">
        <v>25155.45</v>
      </c>
      <c r="G62" s="2">
        <v>71333.63</v>
      </c>
      <c r="H62" s="2">
        <v>8063.4800000000005</v>
      </c>
      <c r="I62" s="2">
        <v>213749.9</v>
      </c>
      <c r="J62" s="2">
        <v>2194.7000000000003</v>
      </c>
      <c r="K62" s="2">
        <v>27327.29</v>
      </c>
    </row>
    <row r="63" spans="1:11" x14ac:dyDescent="0.2">
      <c r="A63" s="1">
        <v>41971</v>
      </c>
      <c r="B63" s="2">
        <v>57943.03</v>
      </c>
      <c r="C63" s="2">
        <v>782.49</v>
      </c>
      <c r="D63" s="2">
        <v>120402.1</v>
      </c>
      <c r="E63" s="2">
        <v>32963.090000000004</v>
      </c>
      <c r="F63" s="2">
        <v>24091.18</v>
      </c>
      <c r="G63" s="2">
        <v>70139.31</v>
      </c>
      <c r="H63" s="2">
        <v>8009.5700000000006</v>
      </c>
      <c r="I63" s="2">
        <v>217056.80000000002</v>
      </c>
      <c r="J63" s="2">
        <v>2262.54</v>
      </c>
      <c r="K63" s="2">
        <v>26802.09</v>
      </c>
    </row>
    <row r="64" spans="1:11" s="6" customFormat="1" x14ac:dyDescent="0.2">
      <c r="A64" s="5" t="s">
        <v>96</v>
      </c>
      <c r="C64" s="6">
        <f>AVERAGE(C3:C63)</f>
        <v>669.95803278688516</v>
      </c>
      <c r="D64" s="6">
        <f t="shared" ref="D64:K64" si="0">AVERAGE(D3:D63)</f>
        <v>85455.464918032769</v>
      </c>
      <c r="E64" s="6">
        <f t="shared" si="0"/>
        <v>28263.875409836059</v>
      </c>
      <c r="F64" s="6">
        <f t="shared" si="0"/>
        <v>27202.33983606557</v>
      </c>
      <c r="G64" s="6">
        <f t="shared" si="0"/>
        <v>57134.273606557377</v>
      </c>
      <c r="H64" s="6">
        <f t="shared" si="0"/>
        <v>6150.0172131147556</v>
      </c>
      <c r="I64" s="6">
        <f t="shared" si="0"/>
        <v>167221.21967213115</v>
      </c>
      <c r="J64" s="6">
        <f t="shared" si="0"/>
        <v>1791.355081967213</v>
      </c>
      <c r="K64" s="6">
        <f t="shared" si="0"/>
        <v>24497.575409836067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95"/>
  <sheetViews>
    <sheetView topLeftCell="A54" workbookViewId="0">
      <selection activeCell="C64" sqref="C64"/>
    </sheetView>
  </sheetViews>
  <sheetFormatPr defaultColWidth="18.125" defaultRowHeight="13.5" x14ac:dyDescent="0.15"/>
  <cols>
    <col min="1" max="1" width="18.125" style="67" customWidth="1"/>
    <col min="2" max="256" width="18.125" style="65"/>
    <col min="257" max="257" width="18.125" style="65" customWidth="1"/>
    <col min="258" max="512" width="18.125" style="65"/>
    <col min="513" max="513" width="18.125" style="65" customWidth="1"/>
    <col min="514" max="768" width="18.125" style="65"/>
    <col min="769" max="769" width="18.125" style="65" customWidth="1"/>
    <col min="770" max="1024" width="18.125" style="65"/>
    <col min="1025" max="1025" width="18.125" style="65" customWidth="1"/>
    <col min="1026" max="1280" width="18.125" style="65"/>
    <col min="1281" max="1281" width="18.125" style="65" customWidth="1"/>
    <col min="1282" max="1536" width="18.125" style="65"/>
    <col min="1537" max="1537" width="18.125" style="65" customWidth="1"/>
    <col min="1538" max="1792" width="18.125" style="65"/>
    <col min="1793" max="1793" width="18.125" style="65" customWidth="1"/>
    <col min="1794" max="2048" width="18.125" style="65"/>
    <col min="2049" max="2049" width="18.125" style="65" customWidth="1"/>
    <col min="2050" max="2304" width="18.125" style="65"/>
    <col min="2305" max="2305" width="18.125" style="65" customWidth="1"/>
    <col min="2306" max="2560" width="18.125" style="65"/>
    <col min="2561" max="2561" width="18.125" style="65" customWidth="1"/>
    <col min="2562" max="2816" width="18.125" style="65"/>
    <col min="2817" max="2817" width="18.125" style="65" customWidth="1"/>
    <col min="2818" max="3072" width="18.125" style="65"/>
    <col min="3073" max="3073" width="18.125" style="65" customWidth="1"/>
    <col min="3074" max="3328" width="18.125" style="65"/>
    <col min="3329" max="3329" width="18.125" style="65" customWidth="1"/>
    <col min="3330" max="3584" width="18.125" style="65"/>
    <col min="3585" max="3585" width="18.125" style="65" customWidth="1"/>
    <col min="3586" max="3840" width="18.125" style="65"/>
    <col min="3841" max="3841" width="18.125" style="65" customWidth="1"/>
    <col min="3842" max="4096" width="18.125" style="65"/>
    <col min="4097" max="4097" width="18.125" style="65" customWidth="1"/>
    <col min="4098" max="4352" width="18.125" style="65"/>
    <col min="4353" max="4353" width="18.125" style="65" customWidth="1"/>
    <col min="4354" max="4608" width="18.125" style="65"/>
    <col min="4609" max="4609" width="18.125" style="65" customWidth="1"/>
    <col min="4610" max="4864" width="18.125" style="65"/>
    <col min="4865" max="4865" width="18.125" style="65" customWidth="1"/>
    <col min="4866" max="5120" width="18.125" style="65"/>
    <col min="5121" max="5121" width="18.125" style="65" customWidth="1"/>
    <col min="5122" max="5376" width="18.125" style="65"/>
    <col min="5377" max="5377" width="18.125" style="65" customWidth="1"/>
    <col min="5378" max="5632" width="18.125" style="65"/>
    <col min="5633" max="5633" width="18.125" style="65" customWidth="1"/>
    <col min="5634" max="5888" width="18.125" style="65"/>
    <col min="5889" max="5889" width="18.125" style="65" customWidth="1"/>
    <col min="5890" max="6144" width="18.125" style="65"/>
    <col min="6145" max="6145" width="18.125" style="65" customWidth="1"/>
    <col min="6146" max="6400" width="18.125" style="65"/>
    <col min="6401" max="6401" width="18.125" style="65" customWidth="1"/>
    <col min="6402" max="6656" width="18.125" style="65"/>
    <col min="6657" max="6657" width="18.125" style="65" customWidth="1"/>
    <col min="6658" max="6912" width="18.125" style="65"/>
    <col min="6913" max="6913" width="18.125" style="65" customWidth="1"/>
    <col min="6914" max="7168" width="18.125" style="65"/>
    <col min="7169" max="7169" width="18.125" style="65" customWidth="1"/>
    <col min="7170" max="7424" width="18.125" style="65"/>
    <col min="7425" max="7425" width="18.125" style="65" customWidth="1"/>
    <col min="7426" max="7680" width="18.125" style="65"/>
    <col min="7681" max="7681" width="18.125" style="65" customWidth="1"/>
    <col min="7682" max="7936" width="18.125" style="65"/>
    <col min="7937" max="7937" width="18.125" style="65" customWidth="1"/>
    <col min="7938" max="8192" width="18.125" style="65"/>
    <col min="8193" max="8193" width="18.125" style="65" customWidth="1"/>
    <col min="8194" max="8448" width="18.125" style="65"/>
    <col min="8449" max="8449" width="18.125" style="65" customWidth="1"/>
    <col min="8450" max="8704" width="18.125" style="65"/>
    <col min="8705" max="8705" width="18.125" style="65" customWidth="1"/>
    <col min="8706" max="8960" width="18.125" style="65"/>
    <col min="8961" max="8961" width="18.125" style="65" customWidth="1"/>
    <col min="8962" max="9216" width="18.125" style="65"/>
    <col min="9217" max="9217" width="18.125" style="65" customWidth="1"/>
    <col min="9218" max="9472" width="18.125" style="65"/>
    <col min="9473" max="9473" width="18.125" style="65" customWidth="1"/>
    <col min="9474" max="9728" width="18.125" style="65"/>
    <col min="9729" max="9729" width="18.125" style="65" customWidth="1"/>
    <col min="9730" max="9984" width="18.125" style="65"/>
    <col min="9985" max="9985" width="18.125" style="65" customWidth="1"/>
    <col min="9986" max="10240" width="18.125" style="65"/>
    <col min="10241" max="10241" width="18.125" style="65" customWidth="1"/>
    <col min="10242" max="10496" width="18.125" style="65"/>
    <col min="10497" max="10497" width="18.125" style="65" customWidth="1"/>
    <col min="10498" max="10752" width="18.125" style="65"/>
    <col min="10753" max="10753" width="18.125" style="65" customWidth="1"/>
    <col min="10754" max="11008" width="18.125" style="65"/>
    <col min="11009" max="11009" width="18.125" style="65" customWidth="1"/>
    <col min="11010" max="11264" width="18.125" style="65"/>
    <col min="11265" max="11265" width="18.125" style="65" customWidth="1"/>
    <col min="11266" max="11520" width="18.125" style="65"/>
    <col min="11521" max="11521" width="18.125" style="65" customWidth="1"/>
    <col min="11522" max="11776" width="18.125" style="65"/>
    <col min="11777" max="11777" width="18.125" style="65" customWidth="1"/>
    <col min="11778" max="12032" width="18.125" style="65"/>
    <col min="12033" max="12033" width="18.125" style="65" customWidth="1"/>
    <col min="12034" max="12288" width="18.125" style="65"/>
    <col min="12289" max="12289" width="18.125" style="65" customWidth="1"/>
    <col min="12290" max="12544" width="18.125" style="65"/>
    <col min="12545" max="12545" width="18.125" style="65" customWidth="1"/>
    <col min="12546" max="12800" width="18.125" style="65"/>
    <col min="12801" max="12801" width="18.125" style="65" customWidth="1"/>
    <col min="12802" max="13056" width="18.125" style="65"/>
    <col min="13057" max="13057" width="18.125" style="65" customWidth="1"/>
    <col min="13058" max="13312" width="18.125" style="65"/>
    <col min="13313" max="13313" width="18.125" style="65" customWidth="1"/>
    <col min="13314" max="13568" width="18.125" style="65"/>
    <col min="13569" max="13569" width="18.125" style="65" customWidth="1"/>
    <col min="13570" max="13824" width="18.125" style="65"/>
    <col min="13825" max="13825" width="18.125" style="65" customWidth="1"/>
    <col min="13826" max="14080" width="18.125" style="65"/>
    <col min="14081" max="14081" width="18.125" style="65" customWidth="1"/>
    <col min="14082" max="14336" width="18.125" style="65"/>
    <col min="14337" max="14337" width="18.125" style="65" customWidth="1"/>
    <col min="14338" max="14592" width="18.125" style="65"/>
    <col min="14593" max="14593" width="18.125" style="65" customWidth="1"/>
    <col min="14594" max="14848" width="18.125" style="65"/>
    <col min="14849" max="14849" width="18.125" style="65" customWidth="1"/>
    <col min="14850" max="15104" width="18.125" style="65"/>
    <col min="15105" max="15105" width="18.125" style="65" customWidth="1"/>
    <col min="15106" max="15360" width="18.125" style="65"/>
    <col min="15361" max="15361" width="18.125" style="65" customWidth="1"/>
    <col min="15362" max="15616" width="18.125" style="65"/>
    <col min="15617" max="15617" width="18.125" style="65" customWidth="1"/>
    <col min="15618" max="15872" width="18.125" style="65"/>
    <col min="15873" max="15873" width="18.125" style="65" customWidth="1"/>
    <col min="15874" max="16128" width="18.125" style="65"/>
    <col min="16129" max="16129" width="18.125" style="65" customWidth="1"/>
    <col min="16130" max="16384" width="18.125" style="65"/>
  </cols>
  <sheetData>
    <row r="1" spans="1:11" ht="14.25" x14ac:dyDescent="0.2">
      <c r="A1" s="4"/>
      <c r="B1" s="4"/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  <c r="H1" s="6" t="s">
        <v>15</v>
      </c>
      <c r="I1" s="6" t="s">
        <v>16</v>
      </c>
      <c r="J1" s="6" t="s">
        <v>17</v>
      </c>
      <c r="K1" s="6" t="s">
        <v>18</v>
      </c>
    </row>
    <row r="2" spans="1:11" s="66" customFormat="1" ht="25.5" x14ac:dyDescent="0.2">
      <c r="A2" s="4" t="s">
        <v>0</v>
      </c>
      <c r="B2" s="4" t="s">
        <v>86</v>
      </c>
      <c r="C2" s="4" t="s">
        <v>87</v>
      </c>
      <c r="D2" s="4" t="s">
        <v>88</v>
      </c>
      <c r="E2" s="4" t="s">
        <v>89</v>
      </c>
      <c r="F2" s="4" t="s">
        <v>90</v>
      </c>
      <c r="G2" s="4" t="s">
        <v>91</v>
      </c>
      <c r="H2" s="4" t="s">
        <v>92</v>
      </c>
      <c r="I2" s="4" t="s">
        <v>93</v>
      </c>
      <c r="J2" s="4" t="s">
        <v>94</v>
      </c>
      <c r="K2" s="4" t="s">
        <v>95</v>
      </c>
    </row>
    <row r="3" spans="1:11" ht="14.25" x14ac:dyDescent="0.2">
      <c r="A3" s="4">
        <v>40147</v>
      </c>
      <c r="B3" s="4">
        <v>21821.5</v>
      </c>
      <c r="C3" s="4">
        <v>13.24</v>
      </c>
      <c r="D3" s="4">
        <v>97.4</v>
      </c>
      <c r="E3" s="4">
        <v>52.550000000000004</v>
      </c>
      <c r="F3" s="4">
        <v>37.950000000000003</v>
      </c>
      <c r="G3" s="4">
        <v>113.4</v>
      </c>
      <c r="H3" s="4">
        <v>45.207000000000001</v>
      </c>
      <c r="I3" s="4">
        <v>11.425000000000001</v>
      </c>
      <c r="J3" s="4">
        <v>24.283999999999999</v>
      </c>
      <c r="K3" s="4">
        <v>90.7</v>
      </c>
    </row>
    <row r="4" spans="1:11" ht="14.25" x14ac:dyDescent="0.2">
      <c r="A4" s="4">
        <v>40178</v>
      </c>
      <c r="B4" s="4">
        <v>21872.5</v>
      </c>
      <c r="C4" s="4">
        <v>14.48</v>
      </c>
      <c r="D4" s="4">
        <v>100.3</v>
      </c>
      <c r="E4" s="4">
        <v>52.45</v>
      </c>
      <c r="F4" s="4">
        <v>38.65</v>
      </c>
      <c r="G4" s="4">
        <v>114.7</v>
      </c>
      <c r="H4" s="4">
        <v>48.264000000000003</v>
      </c>
      <c r="I4" s="4">
        <v>12.108000000000001</v>
      </c>
      <c r="J4" s="4">
        <v>24.929000000000002</v>
      </c>
      <c r="K4" s="4">
        <v>89.4</v>
      </c>
    </row>
    <row r="5" spans="1:11" ht="14.25" x14ac:dyDescent="0.2">
      <c r="A5" s="4">
        <v>40207</v>
      </c>
      <c r="B5" s="4">
        <v>20121.990000000002</v>
      </c>
      <c r="C5" s="4">
        <v>12.8</v>
      </c>
      <c r="D5" s="4">
        <v>92.05</v>
      </c>
      <c r="E5" s="4">
        <v>52.5</v>
      </c>
      <c r="F5" s="4">
        <v>35</v>
      </c>
      <c r="G5" s="4">
        <v>109.10000000000001</v>
      </c>
      <c r="H5" s="4">
        <v>40.619999999999997</v>
      </c>
      <c r="I5" s="4">
        <v>10.543000000000001</v>
      </c>
      <c r="J5" s="4">
        <v>23.489000000000001</v>
      </c>
      <c r="K5" s="4">
        <v>83.600000000000009</v>
      </c>
    </row>
    <row r="6" spans="1:11" ht="14.25" x14ac:dyDescent="0.2">
      <c r="A6" s="4">
        <v>40235</v>
      </c>
      <c r="B6" s="4">
        <v>20608.7</v>
      </c>
      <c r="C6" s="4">
        <v>14.42</v>
      </c>
      <c r="D6" s="4">
        <v>94.7</v>
      </c>
      <c r="E6" s="4">
        <v>53.65</v>
      </c>
      <c r="F6" s="4">
        <v>39.050000000000004</v>
      </c>
      <c r="G6" s="4">
        <v>113.5</v>
      </c>
      <c r="H6" s="4">
        <v>43.347000000000001</v>
      </c>
      <c r="I6" s="4">
        <v>10.854000000000001</v>
      </c>
      <c r="J6" s="4">
        <v>22.594999999999999</v>
      </c>
      <c r="K6" s="4">
        <v>85.850000000000009</v>
      </c>
    </row>
    <row r="7" spans="1:11" ht="14.25" x14ac:dyDescent="0.2">
      <c r="A7" s="4">
        <v>40268</v>
      </c>
      <c r="B7" s="4">
        <v>21239.350000000002</v>
      </c>
      <c r="C7" s="4">
        <v>16.36</v>
      </c>
      <c r="D7" s="4">
        <v>100</v>
      </c>
      <c r="E7" s="4">
        <v>55.5</v>
      </c>
      <c r="F7" s="4">
        <v>41.2</v>
      </c>
      <c r="G7" s="4">
        <v>108.2</v>
      </c>
      <c r="H7" s="4">
        <v>45.207000000000001</v>
      </c>
      <c r="I7" s="4">
        <v>12.021000000000001</v>
      </c>
      <c r="J7" s="4">
        <v>22.844000000000001</v>
      </c>
      <c r="K7" s="4">
        <v>79.100000000000009</v>
      </c>
    </row>
    <row r="8" spans="1:11" ht="14.25" x14ac:dyDescent="0.2">
      <c r="A8" s="4">
        <v>40298</v>
      </c>
      <c r="B8" s="4">
        <v>21108.59</v>
      </c>
      <c r="C8" s="4">
        <v>16.440000000000001</v>
      </c>
      <c r="D8" s="4">
        <v>97.05</v>
      </c>
      <c r="E8" s="4">
        <v>54.5</v>
      </c>
      <c r="F8" s="4">
        <v>38.5</v>
      </c>
      <c r="G8" s="4">
        <v>107</v>
      </c>
      <c r="H8" s="4">
        <v>41.198</v>
      </c>
      <c r="I8" s="4">
        <v>11.797000000000001</v>
      </c>
      <c r="J8" s="4">
        <v>22.695</v>
      </c>
      <c r="K8" s="4">
        <v>80.95</v>
      </c>
    </row>
    <row r="9" spans="1:11" ht="14.25" x14ac:dyDescent="0.2">
      <c r="A9" s="4">
        <v>40329</v>
      </c>
      <c r="B9" s="4">
        <v>19765.189999999999</v>
      </c>
      <c r="C9" s="4">
        <v>15.42</v>
      </c>
      <c r="D9" s="4">
        <v>88.7</v>
      </c>
      <c r="E9" s="4">
        <v>54.85</v>
      </c>
      <c r="F9" s="4">
        <v>37.75</v>
      </c>
      <c r="G9" s="4">
        <v>103.60000000000001</v>
      </c>
      <c r="H9" s="4">
        <v>38.305999999999997</v>
      </c>
      <c r="I9" s="4">
        <v>11.748000000000001</v>
      </c>
      <c r="J9" s="4">
        <v>21.056000000000001</v>
      </c>
      <c r="K9" s="4">
        <v>71.2</v>
      </c>
    </row>
    <row r="10" spans="1:11" ht="14.25" x14ac:dyDescent="0.2">
      <c r="A10" s="4">
        <v>40359</v>
      </c>
      <c r="B10" s="4">
        <v>20128.990000000002</v>
      </c>
      <c r="C10" s="4">
        <v>15.5</v>
      </c>
      <c r="D10" s="4">
        <v>90.4</v>
      </c>
      <c r="E10" s="4">
        <v>56.45</v>
      </c>
      <c r="F10" s="4">
        <v>42.300000000000004</v>
      </c>
      <c r="G10" s="4">
        <v>104.60000000000001</v>
      </c>
      <c r="H10" s="4">
        <v>38.015999999999998</v>
      </c>
      <c r="I10" s="4">
        <v>13.209</v>
      </c>
      <c r="J10" s="4">
        <v>21.95</v>
      </c>
      <c r="K10" s="4">
        <v>72.650000000000006</v>
      </c>
    </row>
    <row r="11" spans="1:11" ht="14.25" x14ac:dyDescent="0.2">
      <c r="A11" s="4">
        <v>40389</v>
      </c>
      <c r="B11" s="4">
        <v>21029.81</v>
      </c>
      <c r="C11" s="4">
        <v>17.3</v>
      </c>
      <c r="D11" s="4">
        <v>93.850000000000009</v>
      </c>
      <c r="E11" s="4">
        <v>57.35</v>
      </c>
      <c r="F11" s="4">
        <v>45.6</v>
      </c>
      <c r="G11" s="4">
        <v>107.60000000000001</v>
      </c>
      <c r="H11" s="4">
        <v>39.959000000000003</v>
      </c>
      <c r="I11" s="4">
        <v>13.25</v>
      </c>
      <c r="J11" s="4">
        <v>24.382999999999999</v>
      </c>
      <c r="K11" s="4">
        <v>79.75</v>
      </c>
    </row>
    <row r="12" spans="1:11" ht="14.25" x14ac:dyDescent="0.2">
      <c r="A12" s="4">
        <v>40421</v>
      </c>
      <c r="B12" s="4">
        <v>20536.490000000002</v>
      </c>
      <c r="C12" s="4">
        <v>19.18</v>
      </c>
      <c r="D12" s="4">
        <v>97.9</v>
      </c>
      <c r="E12" s="4">
        <v>59.550000000000004</v>
      </c>
      <c r="F12" s="4">
        <v>46.5</v>
      </c>
      <c r="G12" s="4">
        <v>106.7</v>
      </c>
      <c r="H12" s="4">
        <v>39.338999999999999</v>
      </c>
      <c r="I12" s="4">
        <v>12.813000000000001</v>
      </c>
      <c r="J12" s="4">
        <v>24.283999999999999</v>
      </c>
      <c r="K12" s="4">
        <v>75.8</v>
      </c>
    </row>
    <row r="13" spans="1:11" ht="14.25" x14ac:dyDescent="0.2">
      <c r="A13" s="4">
        <v>40451</v>
      </c>
      <c r="B13" s="4">
        <v>22358.170000000002</v>
      </c>
      <c r="C13" s="4">
        <v>21.05</v>
      </c>
      <c r="D13" s="4">
        <v>117.60000000000001</v>
      </c>
      <c r="E13" s="4">
        <v>61.95</v>
      </c>
      <c r="F13" s="4">
        <v>50.65</v>
      </c>
      <c r="G13" s="4">
        <v>114.10000000000001</v>
      </c>
      <c r="H13" s="4">
        <v>45.661000000000001</v>
      </c>
      <c r="I13" s="4">
        <v>13.414</v>
      </c>
      <c r="J13" s="4">
        <v>24.929000000000002</v>
      </c>
      <c r="K13" s="4">
        <v>79.7</v>
      </c>
    </row>
    <row r="14" spans="1:11" ht="14.25" x14ac:dyDescent="0.2">
      <c r="A14" s="4">
        <v>40480</v>
      </c>
      <c r="B14" s="4">
        <v>23096.32</v>
      </c>
      <c r="C14" s="4">
        <v>20.85</v>
      </c>
      <c r="D14" s="4">
        <v>118</v>
      </c>
      <c r="E14" s="4">
        <v>63</v>
      </c>
      <c r="F14" s="4">
        <v>51.45</v>
      </c>
      <c r="G14" s="4">
        <v>113.4</v>
      </c>
      <c r="H14" s="4">
        <v>45.496000000000002</v>
      </c>
      <c r="I14" s="4">
        <v>12.759</v>
      </c>
      <c r="J14" s="4">
        <v>24.234000000000002</v>
      </c>
      <c r="K14" s="4">
        <v>80.55</v>
      </c>
    </row>
    <row r="15" spans="1:11" ht="14.25" x14ac:dyDescent="0.2">
      <c r="A15" s="4">
        <v>40512</v>
      </c>
      <c r="B15" s="4">
        <v>23007.99</v>
      </c>
      <c r="C15" s="4">
        <v>22.650000000000002</v>
      </c>
      <c r="D15" s="4">
        <v>114.8</v>
      </c>
      <c r="E15" s="4">
        <v>63.9</v>
      </c>
      <c r="F15" s="4">
        <v>49.85</v>
      </c>
      <c r="G15" s="4">
        <v>127.7</v>
      </c>
      <c r="H15" s="4">
        <v>45.247999999999998</v>
      </c>
      <c r="I15" s="4">
        <v>12.950000000000001</v>
      </c>
      <c r="J15" s="4">
        <v>24.085000000000001</v>
      </c>
      <c r="K15" s="4">
        <v>78.95</v>
      </c>
    </row>
    <row r="16" spans="1:11" ht="14.25" x14ac:dyDescent="0.2">
      <c r="A16" s="4">
        <v>40543</v>
      </c>
      <c r="B16" s="4">
        <v>23035.45</v>
      </c>
      <c r="C16" s="4">
        <v>21.45</v>
      </c>
      <c r="D16" s="4">
        <v>119.9</v>
      </c>
      <c r="E16" s="4">
        <v>63.1</v>
      </c>
      <c r="F16" s="4">
        <v>51.1</v>
      </c>
      <c r="G16" s="4">
        <v>127.8</v>
      </c>
      <c r="H16" s="4">
        <v>43.802</v>
      </c>
      <c r="I16" s="4">
        <v>12.513</v>
      </c>
      <c r="J16" s="4">
        <v>24.234000000000002</v>
      </c>
      <c r="K16" s="4">
        <v>79.7</v>
      </c>
    </row>
    <row r="17" spans="1:11" ht="14.25" x14ac:dyDescent="0.2">
      <c r="A17" s="4">
        <v>40574</v>
      </c>
      <c r="B17" s="4">
        <v>23447.34</v>
      </c>
      <c r="C17" s="4">
        <v>19.64</v>
      </c>
      <c r="D17" s="4">
        <v>128.6</v>
      </c>
      <c r="E17" s="4">
        <v>63.25</v>
      </c>
      <c r="F17" s="4">
        <v>49.25</v>
      </c>
      <c r="G17" s="4">
        <v>128.6</v>
      </c>
      <c r="H17" s="4">
        <v>44.669000000000004</v>
      </c>
      <c r="I17" s="4">
        <v>12.048</v>
      </c>
      <c r="J17" s="4">
        <v>25.128</v>
      </c>
      <c r="K17" s="4">
        <v>84.75</v>
      </c>
    </row>
    <row r="18" spans="1:11" ht="14.25" x14ac:dyDescent="0.2">
      <c r="A18" s="4">
        <v>40602</v>
      </c>
      <c r="B18" s="4">
        <v>23338.02</v>
      </c>
      <c r="C18" s="4">
        <v>18.100000000000001</v>
      </c>
      <c r="D18" s="4">
        <v>121.2</v>
      </c>
      <c r="E18" s="4">
        <v>63.45</v>
      </c>
      <c r="F18" s="4">
        <v>47.2</v>
      </c>
      <c r="G18" s="4">
        <v>124.2</v>
      </c>
      <c r="H18" s="4">
        <v>40.785000000000004</v>
      </c>
      <c r="I18" s="4">
        <v>11.912000000000001</v>
      </c>
      <c r="J18" s="4">
        <v>24.085000000000001</v>
      </c>
      <c r="K18" s="4">
        <v>90.4</v>
      </c>
    </row>
    <row r="19" spans="1:11" ht="14.25" x14ac:dyDescent="0.2">
      <c r="A19" s="4">
        <v>40633</v>
      </c>
      <c r="B19" s="4">
        <v>23527.52</v>
      </c>
      <c r="C19" s="4">
        <v>18.64</v>
      </c>
      <c r="D19" s="4">
        <v>126.8</v>
      </c>
      <c r="E19" s="4">
        <v>62.9</v>
      </c>
      <c r="F19" s="4">
        <v>48.15</v>
      </c>
      <c r="G19" s="4">
        <v>125.60000000000001</v>
      </c>
      <c r="H19" s="4">
        <v>44.545000000000002</v>
      </c>
      <c r="I19" s="4">
        <v>12.745000000000001</v>
      </c>
      <c r="J19" s="4">
        <v>23.190999999999999</v>
      </c>
      <c r="K19" s="4">
        <v>81.75</v>
      </c>
    </row>
    <row r="20" spans="1:11" ht="14.25" x14ac:dyDescent="0.2">
      <c r="A20" s="4">
        <v>40662</v>
      </c>
      <c r="B20" s="4">
        <v>23720.81</v>
      </c>
      <c r="C20" s="4">
        <v>19.38</v>
      </c>
      <c r="D20" s="4">
        <v>122.2</v>
      </c>
      <c r="E20" s="4">
        <v>63.9</v>
      </c>
      <c r="F20" s="4">
        <v>52.300000000000004</v>
      </c>
      <c r="G20" s="4">
        <v>121.4</v>
      </c>
      <c r="H20" s="4">
        <v>43.926000000000002</v>
      </c>
      <c r="I20" s="4">
        <v>13.168000000000001</v>
      </c>
      <c r="J20" s="4">
        <v>23.29</v>
      </c>
      <c r="K20" s="4">
        <v>84.25</v>
      </c>
    </row>
    <row r="21" spans="1:11" ht="14.25" x14ac:dyDescent="0.2">
      <c r="A21" s="4">
        <v>40694</v>
      </c>
      <c r="B21" s="4">
        <v>23684.13</v>
      </c>
      <c r="C21" s="4">
        <v>18.64</v>
      </c>
      <c r="D21" s="4">
        <v>121.7</v>
      </c>
      <c r="E21" s="4">
        <v>66.400000000000006</v>
      </c>
      <c r="F21" s="4">
        <v>50.4</v>
      </c>
      <c r="G21" s="4">
        <v>124.7</v>
      </c>
      <c r="H21" s="4">
        <v>43.636000000000003</v>
      </c>
      <c r="I21" s="4">
        <v>13.494</v>
      </c>
      <c r="J21" s="4">
        <v>24.184000000000001</v>
      </c>
      <c r="K21" s="4">
        <v>82</v>
      </c>
    </row>
    <row r="22" spans="1:11" ht="14.25" x14ac:dyDescent="0.2">
      <c r="A22" s="4">
        <v>40724</v>
      </c>
      <c r="B22" s="4">
        <v>22398.100000000002</v>
      </c>
      <c r="C22" s="4">
        <v>18.02</v>
      </c>
      <c r="D22" s="4">
        <v>113.8</v>
      </c>
      <c r="E22" s="4">
        <v>68.95</v>
      </c>
      <c r="F22" s="4">
        <v>49.300000000000004</v>
      </c>
      <c r="G22" s="4">
        <v>124.3</v>
      </c>
      <c r="H22" s="4">
        <v>41.445999999999998</v>
      </c>
      <c r="I22" s="4">
        <v>13.282999999999999</v>
      </c>
      <c r="J22" s="4">
        <v>24.481999999999999</v>
      </c>
      <c r="K22" s="4">
        <v>77.05</v>
      </c>
    </row>
    <row r="23" spans="1:11" ht="14.25" x14ac:dyDescent="0.2">
      <c r="A23" s="4">
        <v>40753</v>
      </c>
      <c r="B23" s="4">
        <v>22440.25</v>
      </c>
      <c r="C23" s="4">
        <v>18.059999999999999</v>
      </c>
      <c r="D23" s="4">
        <v>119.10000000000001</v>
      </c>
      <c r="E23" s="4">
        <v>72</v>
      </c>
      <c r="F23" s="4">
        <v>46.9</v>
      </c>
      <c r="G23" s="4">
        <v>122.5</v>
      </c>
      <c r="H23" s="4">
        <v>40.826000000000001</v>
      </c>
      <c r="I23" s="4">
        <v>14.335000000000001</v>
      </c>
      <c r="J23" s="4">
        <v>25.077999999999999</v>
      </c>
      <c r="K23" s="4">
        <v>76.55</v>
      </c>
    </row>
    <row r="24" spans="1:11" ht="14.25" x14ac:dyDescent="0.2">
      <c r="A24" s="4">
        <v>40786</v>
      </c>
      <c r="B24" s="4">
        <v>20534.850000000002</v>
      </c>
      <c r="C24" s="4">
        <v>15.68</v>
      </c>
      <c r="D24" s="4">
        <v>109.3</v>
      </c>
      <c r="E24" s="4">
        <v>72.150000000000006</v>
      </c>
      <c r="F24" s="4">
        <v>45.5</v>
      </c>
      <c r="G24" s="4">
        <v>114.7</v>
      </c>
      <c r="H24" s="4">
        <v>37.561999999999998</v>
      </c>
      <c r="I24" s="4">
        <v>13.764000000000001</v>
      </c>
      <c r="J24" s="4">
        <v>24.382999999999999</v>
      </c>
      <c r="K24" s="4">
        <v>67.25</v>
      </c>
    </row>
    <row r="25" spans="1:11" ht="14.25" x14ac:dyDescent="0.2">
      <c r="A25" s="4">
        <v>40816</v>
      </c>
      <c r="B25" s="4">
        <v>17592.41</v>
      </c>
      <c r="C25" s="4">
        <v>12.8</v>
      </c>
      <c r="D25" s="4">
        <v>85.600000000000009</v>
      </c>
      <c r="E25" s="4">
        <v>70.55</v>
      </c>
      <c r="F25" s="4">
        <v>39.85</v>
      </c>
      <c r="G25" s="4">
        <v>91.850000000000009</v>
      </c>
      <c r="H25" s="4">
        <v>29.297000000000001</v>
      </c>
      <c r="I25" s="4">
        <v>13.238</v>
      </c>
      <c r="J25" s="4">
        <v>22.297000000000001</v>
      </c>
      <c r="K25" s="4">
        <v>60.9</v>
      </c>
    </row>
    <row r="26" spans="1:11" ht="14.25" x14ac:dyDescent="0.2">
      <c r="A26" s="4">
        <v>40847</v>
      </c>
      <c r="B26" s="4">
        <v>19864.87</v>
      </c>
      <c r="C26" s="4">
        <v>14.3</v>
      </c>
      <c r="D26" s="4">
        <v>97.8</v>
      </c>
      <c r="E26" s="4">
        <v>69.55</v>
      </c>
      <c r="F26" s="4">
        <v>47.7</v>
      </c>
      <c r="G26" s="4">
        <v>101.2</v>
      </c>
      <c r="H26" s="4">
        <v>35.578000000000003</v>
      </c>
      <c r="I26" s="4">
        <v>13.253</v>
      </c>
      <c r="J26" s="4">
        <v>20.161999999999999</v>
      </c>
      <c r="K26" s="4">
        <v>69.900000000000006</v>
      </c>
    </row>
    <row r="27" spans="1:11" ht="14.25" x14ac:dyDescent="0.2">
      <c r="A27" s="4">
        <v>40877</v>
      </c>
      <c r="B27" s="4">
        <v>17989.350000000002</v>
      </c>
      <c r="C27" s="4">
        <v>13.56</v>
      </c>
      <c r="D27" s="4">
        <v>85.55</v>
      </c>
      <c r="E27" s="4">
        <v>68.25</v>
      </c>
      <c r="F27" s="4">
        <v>40.65</v>
      </c>
      <c r="G27" s="4">
        <v>93.5</v>
      </c>
      <c r="H27" s="4">
        <v>30.826000000000001</v>
      </c>
      <c r="I27" s="4">
        <v>13.343</v>
      </c>
      <c r="J27" s="4">
        <v>19.824000000000002</v>
      </c>
      <c r="K27" s="4">
        <v>57.45</v>
      </c>
    </row>
    <row r="28" spans="1:11" ht="14.25" x14ac:dyDescent="0.2">
      <c r="A28" s="4">
        <v>40907</v>
      </c>
      <c r="B28" s="4">
        <v>18434.39</v>
      </c>
      <c r="C28" s="4">
        <v>13.32</v>
      </c>
      <c r="D28" s="4">
        <v>92.4</v>
      </c>
      <c r="E28" s="4">
        <v>66.05</v>
      </c>
      <c r="F28" s="4">
        <v>42.550000000000004</v>
      </c>
      <c r="G28" s="4">
        <v>92.15</v>
      </c>
      <c r="H28" s="4">
        <v>31.901</v>
      </c>
      <c r="I28" s="4">
        <v>13.524000000000001</v>
      </c>
      <c r="J28" s="4">
        <v>19.725000000000001</v>
      </c>
      <c r="K28" s="4">
        <v>59</v>
      </c>
    </row>
    <row r="29" spans="1:11" ht="14.25" x14ac:dyDescent="0.2">
      <c r="A29" s="4">
        <v>40939</v>
      </c>
      <c r="B29" s="4">
        <v>20390.490000000002</v>
      </c>
      <c r="C29" s="4">
        <v>15.36</v>
      </c>
      <c r="D29" s="4">
        <v>104.4</v>
      </c>
      <c r="E29" s="4">
        <v>63.5</v>
      </c>
      <c r="F29" s="4">
        <v>49.25</v>
      </c>
      <c r="G29" s="4">
        <v>100.10000000000001</v>
      </c>
      <c r="H29" s="4">
        <v>34.792999999999999</v>
      </c>
      <c r="I29" s="4">
        <v>13.824</v>
      </c>
      <c r="J29" s="4">
        <v>20.112000000000002</v>
      </c>
      <c r="K29" s="4">
        <v>65.099999999999994</v>
      </c>
    </row>
    <row r="30" spans="1:11" ht="14.25" x14ac:dyDescent="0.2">
      <c r="A30" s="4">
        <v>40968</v>
      </c>
      <c r="B30" s="4">
        <v>21680.080000000002</v>
      </c>
      <c r="C30" s="4">
        <v>15.4</v>
      </c>
      <c r="D30" s="4">
        <v>113.4</v>
      </c>
      <c r="E30" s="4">
        <v>68.5</v>
      </c>
      <c r="F30" s="4">
        <v>52.6</v>
      </c>
      <c r="G30" s="4">
        <v>108.60000000000001</v>
      </c>
      <c r="H30" s="4">
        <v>40.247999999999998</v>
      </c>
      <c r="I30" s="4">
        <v>14.875999999999999</v>
      </c>
      <c r="J30" s="4">
        <v>23.489000000000001</v>
      </c>
      <c r="K30" s="4">
        <v>70</v>
      </c>
    </row>
    <row r="31" spans="1:11" ht="14.25" x14ac:dyDescent="0.2">
      <c r="A31" s="4">
        <v>40998</v>
      </c>
      <c r="B31" s="4">
        <v>20555.580000000002</v>
      </c>
      <c r="C31" s="4">
        <v>14.38</v>
      </c>
      <c r="D31" s="4">
        <v>100.3</v>
      </c>
      <c r="E31" s="4">
        <v>67</v>
      </c>
      <c r="F31" s="4">
        <v>50.25</v>
      </c>
      <c r="G31" s="4">
        <v>103.2</v>
      </c>
      <c r="H31" s="4">
        <v>35.413000000000004</v>
      </c>
      <c r="I31" s="4">
        <v>14.951000000000001</v>
      </c>
      <c r="J31" s="4">
        <v>21.155000000000001</v>
      </c>
      <c r="K31" s="4">
        <v>68.5</v>
      </c>
    </row>
    <row r="32" spans="1:11" ht="14.25" x14ac:dyDescent="0.2">
      <c r="A32" s="4">
        <v>41029</v>
      </c>
      <c r="B32" s="4">
        <v>21094.21</v>
      </c>
      <c r="C32" s="4">
        <v>13.16</v>
      </c>
      <c r="D32" s="4">
        <v>103.2</v>
      </c>
      <c r="E32" s="4">
        <v>66.45</v>
      </c>
      <c r="F32" s="4">
        <v>48.7</v>
      </c>
      <c r="G32" s="4">
        <v>106.60000000000001</v>
      </c>
      <c r="H32" s="4">
        <v>36.529000000000003</v>
      </c>
      <c r="I32" s="4">
        <v>14.906000000000001</v>
      </c>
      <c r="J32" s="4">
        <v>20.708000000000002</v>
      </c>
      <c r="K32" s="4">
        <v>70.7</v>
      </c>
    </row>
    <row r="33" spans="1:11" ht="14.25" x14ac:dyDescent="0.2">
      <c r="A33" s="4">
        <v>41060</v>
      </c>
      <c r="B33" s="4">
        <v>18629.52</v>
      </c>
      <c r="C33" s="4">
        <v>11.98</v>
      </c>
      <c r="D33" s="4">
        <v>89.5</v>
      </c>
      <c r="E33" s="4">
        <v>63.2</v>
      </c>
      <c r="F33" s="4">
        <v>44.9</v>
      </c>
      <c r="G33" s="4">
        <v>100.3</v>
      </c>
      <c r="H33" s="4">
        <v>32.314</v>
      </c>
      <c r="I33" s="4">
        <v>13.689</v>
      </c>
      <c r="J33" s="4">
        <v>20.062999999999999</v>
      </c>
      <c r="K33" s="4">
        <v>61.25</v>
      </c>
    </row>
    <row r="34" spans="1:11" ht="14.25" x14ac:dyDescent="0.2">
      <c r="A34" s="4">
        <v>41089</v>
      </c>
      <c r="B34" s="4">
        <v>19441.46</v>
      </c>
      <c r="C34" s="4">
        <v>12.46</v>
      </c>
      <c r="D34" s="4">
        <v>94.600000000000009</v>
      </c>
      <c r="E34" s="4">
        <v>65.75</v>
      </c>
      <c r="F34" s="4">
        <v>47.550000000000004</v>
      </c>
      <c r="G34" s="4">
        <v>106</v>
      </c>
      <c r="H34" s="4">
        <v>35.247999999999998</v>
      </c>
      <c r="I34" s="4">
        <v>13.57</v>
      </c>
      <c r="J34" s="4">
        <v>21.95</v>
      </c>
      <c r="K34" s="4">
        <v>68.55</v>
      </c>
    </row>
    <row r="35" spans="1:11" ht="14.25" x14ac:dyDescent="0.2">
      <c r="A35" s="4">
        <v>41121</v>
      </c>
      <c r="B35" s="4">
        <v>19796.810000000001</v>
      </c>
      <c r="C35" s="4">
        <v>12.84</v>
      </c>
      <c r="D35" s="4">
        <v>102.10000000000001</v>
      </c>
      <c r="E35" s="4">
        <v>67</v>
      </c>
      <c r="F35" s="4">
        <v>50.300000000000004</v>
      </c>
      <c r="G35" s="4">
        <v>107.9</v>
      </c>
      <c r="H35" s="4">
        <v>37.355000000000004</v>
      </c>
      <c r="I35" s="4">
        <v>14.843</v>
      </c>
      <c r="J35" s="4">
        <v>22.446000000000002</v>
      </c>
      <c r="K35" s="4">
        <v>65.650000000000006</v>
      </c>
    </row>
    <row r="36" spans="1:11" ht="14.25" x14ac:dyDescent="0.2">
      <c r="A36" s="4">
        <v>41152</v>
      </c>
      <c r="B36" s="4">
        <v>19482.57</v>
      </c>
      <c r="C36" s="4">
        <v>12.64</v>
      </c>
      <c r="D36" s="4">
        <v>105.5</v>
      </c>
      <c r="E36" s="4">
        <v>64.650000000000006</v>
      </c>
      <c r="F36" s="4">
        <v>48.4</v>
      </c>
      <c r="G36" s="4">
        <v>110.4</v>
      </c>
      <c r="H36" s="4">
        <v>39.420999999999999</v>
      </c>
      <c r="I36" s="4">
        <v>15.107000000000001</v>
      </c>
      <c r="J36" s="4">
        <v>24.681000000000001</v>
      </c>
      <c r="K36" s="4">
        <v>67.099999999999994</v>
      </c>
    </row>
    <row r="37" spans="1:11" ht="14.25" x14ac:dyDescent="0.2">
      <c r="A37" s="4">
        <v>41180</v>
      </c>
      <c r="B37" s="4">
        <v>20840.38</v>
      </c>
      <c r="C37" s="4">
        <v>12.620000000000001</v>
      </c>
      <c r="D37" s="4">
        <v>113.7</v>
      </c>
      <c r="E37" s="4">
        <v>65.900000000000006</v>
      </c>
      <c r="F37" s="4">
        <v>49.15</v>
      </c>
      <c r="G37" s="4">
        <v>118.9</v>
      </c>
      <c r="H37" s="4">
        <v>46.116</v>
      </c>
      <c r="I37" s="4">
        <v>16.248000000000001</v>
      </c>
      <c r="J37" s="4">
        <v>26.618000000000002</v>
      </c>
      <c r="K37" s="4">
        <v>72.95</v>
      </c>
    </row>
    <row r="38" spans="1:11" ht="14.25" x14ac:dyDescent="0.2">
      <c r="A38" s="4">
        <v>41213</v>
      </c>
      <c r="B38" s="4">
        <v>21641.82</v>
      </c>
      <c r="C38" s="4">
        <v>14.040000000000001</v>
      </c>
      <c r="D38" s="4">
        <v>114.5</v>
      </c>
      <c r="E38" s="4">
        <v>66.099999999999994</v>
      </c>
      <c r="F38" s="4">
        <v>45.9</v>
      </c>
      <c r="G38" s="4">
        <v>119</v>
      </c>
      <c r="H38" s="4">
        <v>44.38</v>
      </c>
      <c r="I38" s="4">
        <v>17.024999999999999</v>
      </c>
      <c r="J38" s="4">
        <v>27.76</v>
      </c>
      <c r="K38" s="4">
        <v>76.400000000000006</v>
      </c>
    </row>
    <row r="39" spans="1:11" ht="14.25" x14ac:dyDescent="0.2">
      <c r="A39" s="4">
        <v>41243</v>
      </c>
      <c r="B39" s="4">
        <v>22030.39</v>
      </c>
      <c r="C39" s="4">
        <v>13.620000000000001</v>
      </c>
      <c r="D39" s="4">
        <v>118.3</v>
      </c>
      <c r="E39" s="4">
        <v>67.95</v>
      </c>
      <c r="F39" s="4">
        <v>43.2</v>
      </c>
      <c r="G39" s="4">
        <v>118.4</v>
      </c>
      <c r="H39" s="4">
        <v>45.62</v>
      </c>
      <c r="I39" s="4">
        <v>17.355</v>
      </c>
      <c r="J39" s="4">
        <v>30.342000000000002</v>
      </c>
      <c r="K39" s="4">
        <v>78.75</v>
      </c>
    </row>
    <row r="40" spans="1:11" ht="14.25" x14ac:dyDescent="0.2">
      <c r="A40" s="4">
        <v>41274</v>
      </c>
      <c r="B40" s="4">
        <v>22656.920000000002</v>
      </c>
      <c r="C40" s="4">
        <v>14.22</v>
      </c>
      <c r="D40" s="4">
        <v>119</v>
      </c>
      <c r="E40" s="4">
        <v>64.849999999999994</v>
      </c>
      <c r="F40" s="4">
        <v>44.050000000000004</v>
      </c>
      <c r="G40" s="4">
        <v>118.7</v>
      </c>
      <c r="H40" s="4">
        <v>45.207000000000001</v>
      </c>
      <c r="I40" s="4">
        <v>17.478999999999999</v>
      </c>
      <c r="J40" s="4">
        <v>33.024000000000001</v>
      </c>
      <c r="K40" s="4">
        <v>81.3</v>
      </c>
    </row>
    <row r="41" spans="1:11" ht="14.25" x14ac:dyDescent="0.2">
      <c r="A41" s="4">
        <v>41305</v>
      </c>
      <c r="B41" s="4">
        <v>23729.53</v>
      </c>
      <c r="C41" s="4">
        <v>15.06</v>
      </c>
      <c r="D41" s="4">
        <v>127.2</v>
      </c>
      <c r="E41" s="4">
        <v>65.95</v>
      </c>
      <c r="F41" s="4">
        <v>47.050000000000004</v>
      </c>
      <c r="G41" s="4">
        <v>127</v>
      </c>
      <c r="H41" s="4">
        <v>46.116</v>
      </c>
      <c r="I41" s="4">
        <v>18.181999999999999</v>
      </c>
      <c r="J41" s="4">
        <v>31.782</v>
      </c>
      <c r="K41" s="4">
        <v>88.3</v>
      </c>
    </row>
    <row r="42" spans="1:11" ht="14.25" x14ac:dyDescent="0.2">
      <c r="A42" s="4">
        <v>41333</v>
      </c>
      <c r="B42" s="4">
        <v>23020.27</v>
      </c>
      <c r="C42" s="4">
        <v>14.48</v>
      </c>
      <c r="D42" s="4">
        <v>120.60000000000001</v>
      </c>
      <c r="E42" s="4">
        <v>66.75</v>
      </c>
      <c r="F42" s="4">
        <v>47.25</v>
      </c>
      <c r="G42" s="4">
        <v>125.4</v>
      </c>
      <c r="H42" s="4">
        <v>44.587000000000003</v>
      </c>
      <c r="I42" s="4">
        <v>17.934000000000001</v>
      </c>
      <c r="J42" s="4">
        <v>33.669000000000004</v>
      </c>
      <c r="K42" s="4">
        <v>85.850000000000009</v>
      </c>
    </row>
    <row r="43" spans="1:11" ht="14.25" x14ac:dyDescent="0.2">
      <c r="A43" s="4">
        <v>41362</v>
      </c>
      <c r="B43" s="4">
        <v>22299.63</v>
      </c>
      <c r="C43" s="4">
        <v>13.280000000000001</v>
      </c>
      <c r="D43" s="4">
        <v>114.60000000000001</v>
      </c>
      <c r="E43" s="4">
        <v>68</v>
      </c>
      <c r="F43" s="4">
        <v>43.6</v>
      </c>
      <c r="G43" s="4">
        <v>124.5</v>
      </c>
      <c r="H43" s="4">
        <v>43.884</v>
      </c>
      <c r="I43" s="4">
        <v>18.719000000000001</v>
      </c>
      <c r="J43" s="4">
        <v>31.236000000000001</v>
      </c>
      <c r="K43" s="4">
        <v>82</v>
      </c>
    </row>
    <row r="44" spans="1:11" ht="14.25" x14ac:dyDescent="0.2">
      <c r="A44" s="4">
        <v>41394</v>
      </c>
      <c r="B44" s="4">
        <v>22737.010000000002</v>
      </c>
      <c r="C44" s="4">
        <v>13.64</v>
      </c>
      <c r="D44" s="4">
        <v>116.8</v>
      </c>
      <c r="E44" s="4">
        <v>68.400000000000006</v>
      </c>
      <c r="F44" s="4">
        <v>45.7</v>
      </c>
      <c r="G44" s="4">
        <v>129.80000000000001</v>
      </c>
      <c r="H44" s="4">
        <v>46.445999999999998</v>
      </c>
      <c r="I44" s="4">
        <v>19.297000000000001</v>
      </c>
      <c r="J44" s="4">
        <v>29.795999999999999</v>
      </c>
      <c r="K44" s="4">
        <v>84.5</v>
      </c>
    </row>
    <row r="45" spans="1:11" ht="14.25" x14ac:dyDescent="0.2">
      <c r="A45" s="4">
        <v>41425</v>
      </c>
      <c r="B45" s="4">
        <v>22392.16</v>
      </c>
      <c r="C45" s="4">
        <v>14.48</v>
      </c>
      <c r="D45" s="4">
        <v>109.8</v>
      </c>
      <c r="E45" s="4">
        <v>65.55</v>
      </c>
      <c r="F45" s="4">
        <v>42.550000000000004</v>
      </c>
      <c r="G45" s="4">
        <v>125</v>
      </c>
      <c r="H45" s="4">
        <v>45.207000000000001</v>
      </c>
      <c r="I45" s="4">
        <v>18.181999999999999</v>
      </c>
      <c r="J45" s="4">
        <v>27.859000000000002</v>
      </c>
      <c r="K45" s="4">
        <v>86.100000000000009</v>
      </c>
    </row>
    <row r="46" spans="1:11" ht="14.25" x14ac:dyDescent="0.2">
      <c r="A46" s="4">
        <v>41453</v>
      </c>
      <c r="B46" s="4">
        <v>20803.29</v>
      </c>
      <c r="C46" s="4">
        <v>13.56</v>
      </c>
      <c r="D46" s="4">
        <v>105.2</v>
      </c>
      <c r="E46" s="4">
        <v>62.75</v>
      </c>
      <c r="F46" s="4">
        <v>41.7</v>
      </c>
      <c r="G46" s="4">
        <v>114.7</v>
      </c>
      <c r="H46" s="4">
        <v>42.091000000000001</v>
      </c>
      <c r="I46" s="4">
        <v>17.236000000000001</v>
      </c>
      <c r="J46" s="4">
        <v>25.673999999999999</v>
      </c>
      <c r="K46" s="4">
        <v>81.25</v>
      </c>
    </row>
    <row r="47" spans="1:11" ht="14.25" x14ac:dyDescent="0.2">
      <c r="A47" s="4">
        <v>41486</v>
      </c>
      <c r="B47" s="4">
        <v>21883.66</v>
      </c>
      <c r="C47" s="4">
        <v>14.36</v>
      </c>
      <c r="D47" s="4">
        <v>109</v>
      </c>
      <c r="E47" s="4">
        <v>64.3</v>
      </c>
      <c r="F47" s="4">
        <v>39.950000000000003</v>
      </c>
      <c r="G47" s="4">
        <v>118.7</v>
      </c>
      <c r="H47" s="4">
        <v>44</v>
      </c>
      <c r="I47" s="4">
        <v>18.073</v>
      </c>
      <c r="J47" s="4">
        <v>24.433</v>
      </c>
      <c r="K47" s="4">
        <v>87.15</v>
      </c>
    </row>
    <row r="48" spans="1:11" ht="14.25" x14ac:dyDescent="0.2">
      <c r="A48" s="4">
        <v>41516</v>
      </c>
      <c r="B48" s="4">
        <v>21731.37</v>
      </c>
      <c r="C48" s="4">
        <v>13.3</v>
      </c>
      <c r="D48" s="4">
        <v>110.7</v>
      </c>
      <c r="E48" s="4">
        <v>62</v>
      </c>
      <c r="F48" s="4">
        <v>38.050000000000004</v>
      </c>
      <c r="G48" s="4">
        <v>120.5</v>
      </c>
      <c r="H48" s="4">
        <v>41.364000000000004</v>
      </c>
      <c r="I48" s="4">
        <v>16.291</v>
      </c>
      <c r="J48" s="4">
        <v>24.433</v>
      </c>
      <c r="K48" s="4">
        <v>82</v>
      </c>
    </row>
    <row r="49" spans="1:11" ht="14.25" x14ac:dyDescent="0.2">
      <c r="A49" s="4">
        <v>41547</v>
      </c>
      <c r="B49" s="4">
        <v>22859.86</v>
      </c>
      <c r="C49" s="4">
        <v>15.200000000000001</v>
      </c>
      <c r="D49" s="4">
        <v>118.10000000000001</v>
      </c>
      <c r="E49" s="4">
        <v>63.15</v>
      </c>
      <c r="F49" s="4">
        <v>41.4</v>
      </c>
      <c r="G49" s="4">
        <v>126.5</v>
      </c>
      <c r="H49" s="4">
        <v>43.545000000000002</v>
      </c>
      <c r="I49" s="4">
        <v>16.963999999999999</v>
      </c>
      <c r="J49" s="4">
        <v>25.773</v>
      </c>
      <c r="K49" s="4">
        <v>84.350000000000009</v>
      </c>
    </row>
    <row r="50" spans="1:11" ht="14.25" x14ac:dyDescent="0.2">
      <c r="A50" s="4">
        <v>41578</v>
      </c>
      <c r="B50" s="4">
        <v>23206.37</v>
      </c>
      <c r="C50" s="4">
        <v>15.38</v>
      </c>
      <c r="D50" s="4">
        <v>121.2</v>
      </c>
      <c r="E50" s="4">
        <v>62.4</v>
      </c>
      <c r="F50" s="4">
        <v>41</v>
      </c>
      <c r="G50" s="4">
        <v>129</v>
      </c>
      <c r="H50" s="4">
        <v>41.773000000000003</v>
      </c>
      <c r="I50" s="4">
        <v>16.472999999999999</v>
      </c>
      <c r="J50" s="4">
        <v>25.922000000000001</v>
      </c>
      <c r="K50" s="4">
        <v>85.45</v>
      </c>
    </row>
    <row r="51" spans="1:11" ht="14.25" x14ac:dyDescent="0.2">
      <c r="A51" s="4">
        <v>41607</v>
      </c>
      <c r="B51" s="4">
        <v>23881.29</v>
      </c>
      <c r="C51" s="4">
        <v>16.420000000000002</v>
      </c>
      <c r="D51" s="4">
        <v>122.60000000000001</v>
      </c>
      <c r="E51" s="4">
        <v>63.550000000000004</v>
      </c>
      <c r="F51" s="4">
        <v>41.050000000000004</v>
      </c>
      <c r="G51" s="4">
        <v>126.5</v>
      </c>
      <c r="H51" s="4">
        <v>41.227000000000004</v>
      </c>
      <c r="I51" s="4">
        <v>16.618000000000002</v>
      </c>
      <c r="J51" s="4">
        <v>25.823</v>
      </c>
      <c r="K51" s="4">
        <v>86.600000000000009</v>
      </c>
    </row>
    <row r="52" spans="1:11" ht="14.25" x14ac:dyDescent="0.2">
      <c r="A52" s="4">
        <v>41639</v>
      </c>
      <c r="B52" s="4">
        <v>23306.39</v>
      </c>
      <c r="C52" s="4">
        <v>16.399999999999999</v>
      </c>
      <c r="D52" s="4">
        <v>122.4</v>
      </c>
      <c r="E52" s="4">
        <v>61.300000000000004</v>
      </c>
      <c r="F52" s="4">
        <v>39.15</v>
      </c>
      <c r="G52" s="4">
        <v>125.7</v>
      </c>
      <c r="H52" s="4">
        <v>40.227000000000004</v>
      </c>
      <c r="I52" s="4">
        <v>16.164000000000001</v>
      </c>
      <c r="J52" s="4">
        <v>26.071000000000002</v>
      </c>
      <c r="K52" s="4">
        <v>84.15</v>
      </c>
    </row>
    <row r="53" spans="1:11" ht="14.25" x14ac:dyDescent="0.2">
      <c r="A53" s="4">
        <v>41670</v>
      </c>
      <c r="B53" s="4">
        <v>22035.420000000002</v>
      </c>
      <c r="C53" s="4">
        <v>16.100000000000001</v>
      </c>
      <c r="D53" s="4">
        <v>114.9</v>
      </c>
      <c r="E53" s="4">
        <v>58.6</v>
      </c>
      <c r="F53" s="4">
        <v>35.6</v>
      </c>
      <c r="G53" s="4">
        <v>121.5</v>
      </c>
      <c r="H53" s="4">
        <v>38</v>
      </c>
      <c r="I53" s="4">
        <v>14.527000000000001</v>
      </c>
      <c r="J53" s="4">
        <v>26.766999999999999</v>
      </c>
      <c r="K53" s="4">
        <v>80.95</v>
      </c>
    </row>
    <row r="54" spans="1:11" ht="14.25" x14ac:dyDescent="0.2">
      <c r="A54" s="4">
        <v>41698</v>
      </c>
      <c r="B54" s="4">
        <v>22836.959999999999</v>
      </c>
      <c r="C54" s="4">
        <v>15.8</v>
      </c>
      <c r="D54" s="4">
        <v>121.60000000000001</v>
      </c>
      <c r="E54" s="4">
        <v>60.550000000000004</v>
      </c>
      <c r="F54" s="4">
        <v>36.450000000000003</v>
      </c>
      <c r="G54" s="4">
        <v>125.8</v>
      </c>
      <c r="H54" s="4">
        <v>39.545000000000002</v>
      </c>
      <c r="I54" s="4">
        <v>15.200000000000001</v>
      </c>
      <c r="J54" s="4">
        <v>26.071000000000002</v>
      </c>
      <c r="K54" s="4">
        <v>82.25</v>
      </c>
    </row>
    <row r="55" spans="1:11" ht="14.25" x14ac:dyDescent="0.2">
      <c r="A55" s="4">
        <v>41729</v>
      </c>
      <c r="B55" s="4">
        <v>22151.06</v>
      </c>
      <c r="C55" s="4">
        <v>14.46</v>
      </c>
      <c r="D55" s="4">
        <v>128.6</v>
      </c>
      <c r="E55" s="4">
        <v>58.5</v>
      </c>
      <c r="F55" s="4">
        <v>39.050000000000004</v>
      </c>
      <c r="G55" s="4">
        <v>123.5</v>
      </c>
      <c r="H55" s="4">
        <v>41.136000000000003</v>
      </c>
      <c r="I55" s="4">
        <v>15.382</v>
      </c>
      <c r="J55" s="4">
        <v>26.469000000000001</v>
      </c>
      <c r="K55" s="4">
        <v>78.55</v>
      </c>
    </row>
    <row r="56" spans="1:11" ht="14.25" x14ac:dyDescent="0.2">
      <c r="A56" s="4">
        <v>41759</v>
      </c>
      <c r="B56" s="4">
        <v>22133.97</v>
      </c>
      <c r="C56" s="4">
        <v>14.64</v>
      </c>
      <c r="D56" s="4">
        <v>132</v>
      </c>
      <c r="E56" s="4">
        <v>62</v>
      </c>
      <c r="F56" s="4">
        <v>42.050000000000004</v>
      </c>
      <c r="G56" s="4">
        <v>126.3</v>
      </c>
      <c r="H56" s="4">
        <v>42</v>
      </c>
      <c r="I56" s="4">
        <v>16.254999999999999</v>
      </c>
      <c r="J56" s="4">
        <v>26.518000000000001</v>
      </c>
      <c r="K56" s="4">
        <v>78.650000000000006</v>
      </c>
    </row>
    <row r="57" spans="1:11" ht="14.25" x14ac:dyDescent="0.2">
      <c r="A57" s="4">
        <v>41789</v>
      </c>
      <c r="B57" s="4">
        <v>23081.65</v>
      </c>
      <c r="C57" s="4">
        <v>14.120000000000001</v>
      </c>
      <c r="D57" s="4">
        <v>138.5</v>
      </c>
      <c r="E57" s="4">
        <v>63.800000000000004</v>
      </c>
      <c r="F57" s="4">
        <v>43.65</v>
      </c>
      <c r="G57" s="4">
        <v>128</v>
      </c>
      <c r="H57" s="4">
        <v>45.908999999999999</v>
      </c>
      <c r="I57" s="4">
        <v>17.036000000000001</v>
      </c>
      <c r="J57" s="4">
        <v>26.766999999999999</v>
      </c>
      <c r="K57" s="4">
        <v>81.75</v>
      </c>
    </row>
    <row r="58" spans="1:11" ht="14.25" x14ac:dyDescent="0.2">
      <c r="A58" s="4">
        <v>41820</v>
      </c>
      <c r="B58" s="4">
        <v>23190.720000000001</v>
      </c>
      <c r="C58" s="4">
        <v>14.48</v>
      </c>
      <c r="D58" s="4">
        <v>137.5</v>
      </c>
      <c r="E58" s="4">
        <v>63.6</v>
      </c>
      <c r="F58" s="4">
        <v>41.95</v>
      </c>
      <c r="G58" s="4">
        <v>126.60000000000001</v>
      </c>
      <c r="H58" s="4">
        <v>45.35</v>
      </c>
      <c r="I58" s="4">
        <v>16.96</v>
      </c>
      <c r="J58" s="4">
        <v>26.815999999999999</v>
      </c>
      <c r="K58" s="4">
        <v>78.600000000000009</v>
      </c>
    </row>
    <row r="59" spans="1:11" ht="14.25" x14ac:dyDescent="0.2">
      <c r="A59" s="4">
        <v>41851</v>
      </c>
      <c r="B59" s="4">
        <v>24756.850000000002</v>
      </c>
      <c r="C59" s="4">
        <v>14.72</v>
      </c>
      <c r="D59" s="4">
        <v>150.70000000000002</v>
      </c>
      <c r="E59" s="4">
        <v>64.55</v>
      </c>
      <c r="F59" s="4">
        <v>41.7</v>
      </c>
      <c r="G59" s="4">
        <v>131.80000000000001</v>
      </c>
      <c r="H59" s="4">
        <v>49.45</v>
      </c>
      <c r="I59" s="4">
        <v>16.96</v>
      </c>
      <c r="J59" s="4">
        <v>26.815999999999999</v>
      </c>
      <c r="K59" s="4">
        <v>83.5</v>
      </c>
    </row>
    <row r="60" spans="1:11" ht="14.25" x14ac:dyDescent="0.2">
      <c r="A60" s="4">
        <v>41880</v>
      </c>
      <c r="B60" s="4">
        <v>24742.06</v>
      </c>
      <c r="C60" s="4">
        <v>14.4</v>
      </c>
      <c r="D60" s="4">
        <v>141.30000000000001</v>
      </c>
      <c r="E60" s="4">
        <v>65.599999999999994</v>
      </c>
      <c r="F60" s="4">
        <v>43.300000000000004</v>
      </c>
      <c r="G60" s="4">
        <v>130.9</v>
      </c>
      <c r="H60" s="4">
        <v>51.35</v>
      </c>
      <c r="I60" s="4">
        <v>17.580000000000002</v>
      </c>
      <c r="J60" s="4">
        <v>27.661000000000001</v>
      </c>
      <c r="K60" s="4">
        <v>83.65</v>
      </c>
    </row>
    <row r="61" spans="1:11" ht="14.25" x14ac:dyDescent="0.2">
      <c r="A61" s="4">
        <v>41912</v>
      </c>
      <c r="B61" s="4">
        <v>22932.98</v>
      </c>
      <c r="C61" s="4">
        <v>14.3</v>
      </c>
      <c r="D61" s="4">
        <v>127.9</v>
      </c>
      <c r="E61" s="4">
        <v>62.35</v>
      </c>
      <c r="F61" s="4">
        <v>38.450000000000003</v>
      </c>
      <c r="G61" s="4">
        <v>124.7</v>
      </c>
      <c r="H61" s="4">
        <v>50.300000000000004</v>
      </c>
      <c r="I61" s="4">
        <v>16.84</v>
      </c>
      <c r="J61" s="4">
        <v>27.015000000000001</v>
      </c>
      <c r="K61" s="4">
        <v>79.55</v>
      </c>
    </row>
    <row r="62" spans="1:11" ht="14.25" x14ac:dyDescent="0.2">
      <c r="A62" s="4">
        <v>41943</v>
      </c>
      <c r="B62" s="4">
        <v>23998.06</v>
      </c>
      <c r="C62" s="4">
        <v>14.540000000000001</v>
      </c>
      <c r="D62" s="4">
        <v>137.6</v>
      </c>
      <c r="E62" s="4">
        <v>66.75</v>
      </c>
      <c r="F62" s="4">
        <v>39</v>
      </c>
      <c r="G62" s="4">
        <v>131.4</v>
      </c>
      <c r="H62" s="4">
        <v>52.35</v>
      </c>
      <c r="I62" s="4">
        <v>18.100000000000001</v>
      </c>
      <c r="J62" s="4">
        <v>27.5</v>
      </c>
      <c r="K62" s="4">
        <v>78.850000000000009</v>
      </c>
    </row>
    <row r="63" spans="1:11" ht="14.25" x14ac:dyDescent="0.2">
      <c r="A63" s="4">
        <v>41971</v>
      </c>
      <c r="B63" s="4">
        <v>23987.45</v>
      </c>
      <c r="C63" s="4">
        <v>17.080000000000002</v>
      </c>
      <c r="D63" s="4">
        <v>142.30000000000001</v>
      </c>
      <c r="E63" s="4">
        <v>67.45</v>
      </c>
      <c r="F63" s="4">
        <v>37.35</v>
      </c>
      <c r="G63" s="4">
        <v>129.19999999999999</v>
      </c>
      <c r="H63" s="4">
        <v>52</v>
      </c>
      <c r="I63" s="4">
        <v>18.38</v>
      </c>
      <c r="J63" s="4">
        <v>28.35</v>
      </c>
      <c r="K63" s="4">
        <v>77.05</v>
      </c>
    </row>
    <row r="64" spans="1:11" s="68" customFormat="1" ht="14.25" x14ac:dyDescent="0.2">
      <c r="A64" s="11" t="s">
        <v>97</v>
      </c>
      <c r="B64" s="11"/>
      <c r="C64" s="11">
        <f>AVERAGE(C3:C63)</f>
        <v>15.478688524590163</v>
      </c>
      <c r="D64" s="11">
        <f t="shared" ref="D64:K64" si="0">AVERAGE(D3:D63)</f>
        <v>113.05409836065577</v>
      </c>
      <c r="E64" s="11">
        <f t="shared" si="0"/>
        <v>63.40000000000002</v>
      </c>
      <c r="F64" s="11">
        <f t="shared" si="0"/>
        <v>44.041803278688526</v>
      </c>
      <c r="G64" s="11">
        <f t="shared" si="0"/>
        <v>117.16721311475406</v>
      </c>
      <c r="H64" s="11">
        <f t="shared" si="0"/>
        <v>42.051934426229508</v>
      </c>
      <c r="I64" s="11">
        <f t="shared" si="0"/>
        <v>14.864540983606563</v>
      </c>
      <c r="J64" s="11">
        <f t="shared" si="0"/>
        <v>25.039163934426231</v>
      </c>
      <c r="K64" s="11">
        <f t="shared" si="0"/>
        <v>78.138524590163939</v>
      </c>
    </row>
    <row r="65" spans="1:11" ht="14.25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ht="14.25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ht="14.25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 ht="14.25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 ht="14.25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 ht="14.25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 ht="14.25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  <row r="72" spans="1:11" ht="14.25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</row>
    <row r="73" spans="1:11" ht="14.25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4" spans="1:11" ht="14.25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</row>
    <row r="75" spans="1:11" ht="14.25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</row>
    <row r="76" spans="1:11" ht="14.25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</row>
    <row r="77" spans="1:11" ht="14.25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ht="14.25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ht="14.25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ht="14.25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ht="14.25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ht="14.25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ht="14.25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ht="14.25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ht="14.25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ht="14.25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ht="14.25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ht="14.25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ht="14.25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ht="14.25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ht="14.25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ht="14.25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ht="14.25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ht="14.25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ht="14.25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Chart</vt:lpstr>
      <vt:lpstr>Question 3</vt:lpstr>
      <vt:lpstr>Solution(T)</vt:lpstr>
      <vt:lpstr>Solution(MVF)</vt:lpstr>
      <vt:lpstr>RealizedReturn</vt:lpstr>
      <vt:lpstr>MonthlyData</vt:lpstr>
      <vt:lpstr>StockPrice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2014-12-15T15:31:04Z</dcterms:modified>
</cp:coreProperties>
</file>